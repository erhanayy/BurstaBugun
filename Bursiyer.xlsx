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ork\Erhan\Bursiyer\"/>
    </mc:Choice>
  </mc:AlternateContent>
  <bookViews>
    <workbookView xWindow="0" yWindow="0" windowWidth="28800" windowHeight="12000"/>
  </bookViews>
  <sheets>
    <sheet name="UseCase" sheetId="1" r:id="rId1"/>
    <sheet name="Business Case" sheetId="2" r:id="rId2"/>
    <sheet name="Busines Plan" sheetId="3" r:id="rId3"/>
    <sheet name="Resource Plan" sheetId="4" r:id="rId4"/>
    <sheet name="Income &amp; Outcome Projection" sheetId="5" r:id="rId5"/>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5" l="1"/>
  <c r="I5" i="5"/>
  <c r="H5" i="5"/>
  <c r="G5" i="5"/>
  <c r="F5" i="5"/>
  <c r="J3" i="5"/>
  <c r="J13" i="5" s="1"/>
  <c r="I3" i="5"/>
  <c r="I13" i="5" s="1"/>
  <c r="H3" i="5"/>
  <c r="H13" i="5" s="1"/>
  <c r="G3" i="5"/>
  <c r="G13" i="5" s="1"/>
  <c r="F3" i="5"/>
  <c r="G15" i="4"/>
  <c r="G13" i="4"/>
  <c r="F13" i="4"/>
  <c r="F13" i="5"/>
  <c r="J7" i="5"/>
  <c r="J8" i="5" s="1"/>
  <c r="J14" i="5" s="1"/>
  <c r="I7" i="5"/>
  <c r="I8" i="5" s="1"/>
  <c r="I14" i="5" s="1"/>
  <c r="H7" i="5"/>
  <c r="H8" i="5" s="1"/>
  <c r="H14" i="5" s="1"/>
  <c r="G7" i="5"/>
  <c r="G8" i="5" s="1"/>
  <c r="G14" i="5" s="1"/>
  <c r="F7" i="5"/>
  <c r="F8" i="5" s="1"/>
  <c r="F14" i="5" s="1"/>
  <c r="F38" i="3"/>
  <c r="F36" i="3"/>
  <c r="F35" i="3"/>
  <c r="I25" i="3"/>
  <c r="J25" i="3" s="1"/>
  <c r="K25" i="3" s="1"/>
  <c r="L25" i="3" s="1"/>
  <c r="M25" i="3" s="1"/>
  <c r="N25" i="3" s="1"/>
  <c r="O25" i="3" s="1"/>
  <c r="P25" i="3" s="1"/>
  <c r="Q25" i="3" s="1"/>
  <c r="R25" i="3" s="1"/>
  <c r="S25" i="3" s="1"/>
  <c r="H25" i="3"/>
  <c r="G25" i="3" s="1"/>
  <c r="H24" i="3"/>
  <c r="I24" i="3" s="1"/>
  <c r="J24" i="3" s="1"/>
  <c r="K24" i="3" s="1"/>
  <c r="L24" i="3" s="1"/>
  <c r="M24" i="3" s="1"/>
  <c r="N24" i="3" s="1"/>
  <c r="O24" i="3" s="1"/>
  <c r="P24" i="3" s="1"/>
  <c r="Q24" i="3" s="1"/>
  <c r="R24" i="3" s="1"/>
  <c r="S24" i="3" s="1"/>
  <c r="H23" i="3"/>
  <c r="H22" i="3"/>
  <c r="I22" i="3" s="1"/>
  <c r="J22" i="3" s="1"/>
  <c r="K22" i="3" s="1"/>
  <c r="L22" i="3" s="1"/>
  <c r="M22" i="3" s="1"/>
  <c r="N22" i="3" s="1"/>
  <c r="O22" i="3" s="1"/>
  <c r="P22" i="3" s="1"/>
  <c r="Q22" i="3" s="1"/>
  <c r="R22" i="3" s="1"/>
  <c r="S22" i="3" s="1"/>
  <c r="H17" i="3"/>
  <c r="H16" i="3"/>
  <c r="I16" i="3" s="1"/>
  <c r="J16" i="3" s="1"/>
  <c r="K16" i="3" s="1"/>
  <c r="L16" i="3" s="1"/>
  <c r="M16" i="3" s="1"/>
  <c r="N16" i="3" s="1"/>
  <c r="O16" i="3" s="1"/>
  <c r="P16" i="3" s="1"/>
  <c r="Q16" i="3" s="1"/>
  <c r="R16" i="3" s="1"/>
  <c r="S16" i="3" s="1"/>
  <c r="G12" i="4"/>
  <c r="G11" i="4"/>
  <c r="G10" i="4"/>
  <c r="G9" i="4"/>
  <c r="G8" i="4"/>
  <c r="F12" i="4"/>
  <c r="F11" i="4"/>
  <c r="F10" i="4"/>
  <c r="F9" i="4"/>
  <c r="F8" i="4"/>
  <c r="I27" i="3"/>
  <c r="J27" i="3" s="1"/>
  <c r="K27" i="3" s="1"/>
  <c r="L27" i="3" s="1"/>
  <c r="M27" i="3" s="1"/>
  <c r="N27" i="3" s="1"/>
  <c r="O27" i="3" s="1"/>
  <c r="P27" i="3" s="1"/>
  <c r="Q27" i="3" s="1"/>
  <c r="R27" i="3" s="1"/>
  <c r="S27" i="3" s="1"/>
  <c r="I26" i="3"/>
  <c r="G5" i="3"/>
  <c r="G6" i="3"/>
  <c r="G14" i="3"/>
  <c r="H12" i="3"/>
  <c r="I12" i="3" s="1"/>
  <c r="J12" i="3" s="1"/>
  <c r="K12" i="3" s="1"/>
  <c r="L12" i="3" s="1"/>
  <c r="M12" i="3" s="1"/>
  <c r="N12" i="3" s="1"/>
  <c r="O12" i="3" s="1"/>
  <c r="P12" i="3" s="1"/>
  <c r="Q12" i="3" s="1"/>
  <c r="R12" i="3" s="1"/>
  <c r="S12" i="3" s="1"/>
  <c r="I3" i="3"/>
  <c r="J3" i="3" s="1"/>
  <c r="K3" i="3" s="1"/>
  <c r="L3" i="3" s="1"/>
  <c r="M3" i="3" s="1"/>
  <c r="N3" i="3" s="1"/>
  <c r="O3" i="3" s="1"/>
  <c r="P3" i="3" s="1"/>
  <c r="Q3" i="3" s="1"/>
  <c r="R3" i="3" s="1"/>
  <c r="S3" i="3" s="1"/>
  <c r="I4" i="3"/>
  <c r="J4" i="3" s="1"/>
  <c r="K4" i="3" s="1"/>
  <c r="L4" i="3" s="1"/>
  <c r="M4" i="3" s="1"/>
  <c r="N4" i="3" s="1"/>
  <c r="O4" i="3" s="1"/>
  <c r="P4" i="3" s="1"/>
  <c r="Q4" i="3" s="1"/>
  <c r="R4" i="3" s="1"/>
  <c r="S4" i="3" s="1"/>
  <c r="I5" i="3"/>
  <c r="J5" i="3" s="1"/>
  <c r="K5" i="3" s="1"/>
  <c r="L5" i="3" s="1"/>
  <c r="M5" i="3" s="1"/>
  <c r="N5" i="3" s="1"/>
  <c r="O5" i="3" s="1"/>
  <c r="P5" i="3" s="1"/>
  <c r="Q5" i="3" s="1"/>
  <c r="R5" i="3" s="1"/>
  <c r="S5" i="3" s="1"/>
  <c r="I6" i="3"/>
  <c r="J6" i="3" s="1"/>
  <c r="K6" i="3" s="1"/>
  <c r="L6" i="3" s="1"/>
  <c r="M6" i="3" s="1"/>
  <c r="N6" i="3" s="1"/>
  <c r="O6" i="3" s="1"/>
  <c r="P6" i="3" s="1"/>
  <c r="Q6" i="3" s="1"/>
  <c r="R6" i="3" s="1"/>
  <c r="S6" i="3" s="1"/>
  <c r="I7" i="3"/>
  <c r="J7" i="3" s="1"/>
  <c r="K7" i="3" s="1"/>
  <c r="L7" i="3" s="1"/>
  <c r="M7" i="3" s="1"/>
  <c r="N7" i="3" s="1"/>
  <c r="O7" i="3" s="1"/>
  <c r="P7" i="3" s="1"/>
  <c r="Q7" i="3" s="1"/>
  <c r="R7" i="3" s="1"/>
  <c r="S7" i="3" s="1"/>
  <c r="I8" i="3"/>
  <c r="J8" i="3" s="1"/>
  <c r="K8" i="3" s="1"/>
  <c r="L8" i="3" s="1"/>
  <c r="M8" i="3" s="1"/>
  <c r="N8" i="3" s="1"/>
  <c r="O8" i="3" s="1"/>
  <c r="P8" i="3" s="1"/>
  <c r="Q8" i="3" s="1"/>
  <c r="R8" i="3" s="1"/>
  <c r="S8" i="3" s="1"/>
  <c r="I9" i="3"/>
  <c r="J9" i="3" s="1"/>
  <c r="K9" i="3" s="1"/>
  <c r="L9" i="3" s="1"/>
  <c r="M9" i="3" s="1"/>
  <c r="N9" i="3" s="1"/>
  <c r="O9" i="3" s="1"/>
  <c r="P9" i="3" s="1"/>
  <c r="Q9" i="3" s="1"/>
  <c r="R9" i="3" s="1"/>
  <c r="S9" i="3" s="1"/>
  <c r="I10" i="3"/>
  <c r="J10" i="3" s="1"/>
  <c r="K10" i="3" s="1"/>
  <c r="L10" i="3" s="1"/>
  <c r="M10" i="3" s="1"/>
  <c r="N10" i="3" s="1"/>
  <c r="O10" i="3" s="1"/>
  <c r="P10" i="3" s="1"/>
  <c r="Q10" i="3" s="1"/>
  <c r="R10" i="3" s="1"/>
  <c r="S10" i="3" s="1"/>
  <c r="I11" i="3"/>
  <c r="J11" i="3" s="1"/>
  <c r="K11" i="3" s="1"/>
  <c r="L11" i="3" s="1"/>
  <c r="M11" i="3" s="1"/>
  <c r="N11" i="3" s="1"/>
  <c r="O11" i="3" s="1"/>
  <c r="P11" i="3" s="1"/>
  <c r="Q11" i="3" s="1"/>
  <c r="R11" i="3" s="1"/>
  <c r="S11" i="3" s="1"/>
  <c r="I13" i="3"/>
  <c r="J13" i="3" s="1"/>
  <c r="K13" i="3" s="1"/>
  <c r="L13" i="3" s="1"/>
  <c r="M13" i="3" s="1"/>
  <c r="N13" i="3" s="1"/>
  <c r="O13" i="3" s="1"/>
  <c r="P13" i="3" s="1"/>
  <c r="Q13" i="3" s="1"/>
  <c r="R13" i="3" s="1"/>
  <c r="S13" i="3" s="1"/>
  <c r="I14" i="3"/>
  <c r="J14" i="3" s="1"/>
  <c r="K14" i="3" s="1"/>
  <c r="L14" i="3" s="1"/>
  <c r="M14" i="3" s="1"/>
  <c r="N14" i="3" s="1"/>
  <c r="O14" i="3" s="1"/>
  <c r="P14" i="3" s="1"/>
  <c r="Q14" i="3" s="1"/>
  <c r="R14" i="3" s="1"/>
  <c r="S14" i="3" s="1"/>
  <c r="I15" i="3"/>
  <c r="J15" i="3" s="1"/>
  <c r="K15" i="3" s="1"/>
  <c r="L15" i="3" s="1"/>
  <c r="M15" i="3" s="1"/>
  <c r="N15" i="3" s="1"/>
  <c r="O15" i="3" s="1"/>
  <c r="P15" i="3" s="1"/>
  <c r="Q15" i="3" s="1"/>
  <c r="R15" i="3" s="1"/>
  <c r="S15" i="3" s="1"/>
  <c r="I18" i="3"/>
  <c r="J18" i="3" s="1"/>
  <c r="K18" i="3" s="1"/>
  <c r="L18" i="3" s="1"/>
  <c r="M18" i="3" s="1"/>
  <c r="N18" i="3" s="1"/>
  <c r="O18" i="3" s="1"/>
  <c r="P18" i="3" s="1"/>
  <c r="Q18" i="3" s="1"/>
  <c r="R18" i="3" s="1"/>
  <c r="S18" i="3" s="1"/>
  <c r="I19" i="3"/>
  <c r="J19" i="3" s="1"/>
  <c r="K19" i="3" s="1"/>
  <c r="L19" i="3" s="1"/>
  <c r="M19" i="3" s="1"/>
  <c r="N19" i="3" s="1"/>
  <c r="O19" i="3" s="1"/>
  <c r="P19" i="3" s="1"/>
  <c r="Q19" i="3" s="1"/>
  <c r="R19" i="3" s="1"/>
  <c r="S19" i="3" s="1"/>
  <c r="I20" i="3"/>
  <c r="J20" i="3" s="1"/>
  <c r="K20" i="3" s="1"/>
  <c r="L20" i="3" s="1"/>
  <c r="M20" i="3" s="1"/>
  <c r="N20" i="3" s="1"/>
  <c r="O20" i="3" s="1"/>
  <c r="P20" i="3" s="1"/>
  <c r="Q20" i="3" s="1"/>
  <c r="R20" i="3" s="1"/>
  <c r="S20" i="3" s="1"/>
  <c r="I21" i="3"/>
  <c r="J21" i="3" s="1"/>
  <c r="K21" i="3" s="1"/>
  <c r="L21" i="3" s="1"/>
  <c r="M21" i="3" s="1"/>
  <c r="N21" i="3" s="1"/>
  <c r="O21" i="3" s="1"/>
  <c r="P21" i="3" s="1"/>
  <c r="Q21" i="3" s="1"/>
  <c r="R21" i="3" s="1"/>
  <c r="S21" i="3" s="1"/>
  <c r="I23" i="3"/>
  <c r="J23" i="3" s="1"/>
  <c r="K23" i="3" s="1"/>
  <c r="L23" i="3" s="1"/>
  <c r="M23" i="3" s="1"/>
  <c r="N23" i="3" s="1"/>
  <c r="O23" i="3" s="1"/>
  <c r="P23" i="3" s="1"/>
  <c r="Q23" i="3" s="1"/>
  <c r="R23" i="3" s="1"/>
  <c r="S23" i="3" s="1"/>
  <c r="J26" i="3"/>
  <c r="K26" i="3" s="1"/>
  <c r="L26" i="3" s="1"/>
  <c r="M26" i="3" s="1"/>
  <c r="N26" i="3" s="1"/>
  <c r="O26" i="3" s="1"/>
  <c r="P26" i="3" s="1"/>
  <c r="Q26" i="3" s="1"/>
  <c r="R26" i="3" s="1"/>
  <c r="S26" i="3" s="1"/>
  <c r="I30" i="3"/>
  <c r="J30" i="3" s="1"/>
  <c r="K30" i="3" s="1"/>
  <c r="L30" i="3" s="1"/>
  <c r="M30" i="3" s="1"/>
  <c r="N30" i="3" s="1"/>
  <c r="O30" i="3" s="1"/>
  <c r="P30" i="3" s="1"/>
  <c r="Q30" i="3" s="1"/>
  <c r="R30" i="3" s="1"/>
  <c r="S30" i="3" s="1"/>
  <c r="I2" i="3"/>
  <c r="J2" i="3" s="1"/>
  <c r="K2" i="3" s="1"/>
  <c r="L2" i="3" s="1"/>
  <c r="M2" i="3" s="1"/>
  <c r="N2" i="3" s="1"/>
  <c r="O2" i="3" s="1"/>
  <c r="P2" i="3" s="1"/>
  <c r="Q2" i="3" s="1"/>
  <c r="R2" i="3" s="1"/>
  <c r="S2" i="3" s="1"/>
  <c r="F11" i="3"/>
  <c r="H29" i="3"/>
  <c r="I29" i="3" s="1"/>
  <c r="J29" i="3" s="1"/>
  <c r="K29" i="3" s="1"/>
  <c r="L29" i="3" s="1"/>
  <c r="M29" i="3" s="1"/>
  <c r="N29" i="3" s="1"/>
  <c r="O29" i="3" s="1"/>
  <c r="P29" i="3" s="1"/>
  <c r="Q29" i="3" s="1"/>
  <c r="R29" i="3" s="1"/>
  <c r="S29" i="3" s="1"/>
  <c r="H28" i="3"/>
  <c r="I28" i="3" s="1"/>
  <c r="J28" i="3" s="1"/>
  <c r="K28" i="3" s="1"/>
  <c r="L28" i="3" s="1"/>
  <c r="M28" i="3" s="1"/>
  <c r="N28" i="3" s="1"/>
  <c r="O28" i="3" s="1"/>
  <c r="P28" i="3" s="1"/>
  <c r="Q28" i="3" s="1"/>
  <c r="R28" i="3" s="1"/>
  <c r="S28" i="3" s="1"/>
  <c r="G12" i="3" l="1"/>
  <c r="G13" i="3"/>
  <c r="G9" i="3"/>
  <c r="G8" i="3"/>
  <c r="G22" i="3"/>
  <c r="G35" i="3" s="1"/>
  <c r="G21" i="3"/>
  <c r="G2" i="3"/>
  <c r="G18" i="3"/>
  <c r="G7" i="3"/>
  <c r="G26" i="3"/>
  <c r="G4" i="3"/>
  <c r="G30" i="3"/>
  <c r="G24" i="3"/>
  <c r="G11" i="3"/>
  <c r="G3" i="3"/>
  <c r="G23" i="3"/>
  <c r="G10" i="3"/>
  <c r="G20" i="3"/>
  <c r="G19" i="3"/>
  <c r="I17" i="3"/>
  <c r="J17" i="3" s="1"/>
  <c r="K17" i="3" s="1"/>
  <c r="L17" i="3" s="1"/>
  <c r="M17" i="3" s="1"/>
  <c r="N17" i="3" s="1"/>
  <c r="O17" i="3" s="1"/>
  <c r="P17" i="3" s="1"/>
  <c r="Q17" i="3" s="1"/>
  <c r="R17" i="3" s="1"/>
  <c r="S17" i="3" s="1"/>
  <c r="G15" i="3"/>
  <c r="G16" i="3"/>
  <c r="G27" i="3"/>
  <c r="G29" i="3"/>
  <c r="G28" i="3"/>
  <c r="G36" i="3" l="1"/>
  <c r="G38" i="3" s="1"/>
  <c r="F16" i="5" s="1"/>
  <c r="G17" i="3"/>
  <c r="F21" i="5" l="1"/>
  <c r="G16" i="5"/>
  <c r="G21" i="5" l="1"/>
  <c r="H16" i="5"/>
  <c r="I16" i="5" l="1"/>
  <c r="H21" i="5"/>
  <c r="I21" i="5" l="1"/>
  <c r="J16" i="5"/>
  <c r="J21" i="5" s="1"/>
</calcChain>
</file>

<file path=xl/sharedStrings.xml><?xml version="1.0" encoding="utf-8"?>
<sst xmlns="http://schemas.openxmlformats.org/spreadsheetml/2006/main" count="254" uniqueCount="207">
  <si>
    <t>Role</t>
  </si>
  <si>
    <t>UseCase</t>
  </si>
  <si>
    <t>Herkes</t>
  </si>
  <si>
    <t>Kişi uygulmayı marketten indirir</t>
  </si>
  <si>
    <t xml:space="preserve">Kendini uygulmaya tanıtır </t>
  </si>
  <si>
    <t xml:space="preserve">Uygulamaya giriş yapar </t>
  </si>
  <si>
    <t xml:space="preserve">Telefon numarası  doğrulama yapar </t>
  </si>
  <si>
    <t xml:space="preserve">E-mail doğrulama yapar </t>
  </si>
  <si>
    <t xml:space="preserve">Şifre değişikliği yapar </t>
  </si>
  <si>
    <t xml:space="preserve">Şifre mi unuttum diyebilir </t>
  </si>
  <si>
    <t xml:space="preserve">SMS veya Email yolu ile yeni şifre alabilir </t>
  </si>
  <si>
    <t xml:space="preserve">Özlük Bilgileri düzenler </t>
  </si>
  <si>
    <t xml:space="preserve">Kişisel veri sözleşmesini onaylar </t>
  </si>
  <si>
    <t xml:space="preserve">Veri paylaşım iznini onaylar </t>
  </si>
  <si>
    <t xml:space="preserve">Sözleşmelerden birini onaylamayan sisteme dahil olamaz </t>
  </si>
  <si>
    <t>Bursiyer</t>
  </si>
  <si>
    <t xml:space="preserve">Verilerin doğruluğu ile ilgili paylaşımlar, kesinti hakları, tamamen iptal hakkı, tazminat ödeme sözleşmesinin imzalar </t>
  </si>
  <si>
    <t xml:space="preserve">Onayladığı kişlerin verilerinin doğruluğunu onaylar </t>
  </si>
  <si>
    <t xml:space="preserve">İhtiycının belirlenmesi ile ile ilgil verdiği onayların doğru olduğunu, şahitliğinin askıya alınıp hesabının kağatılşabileceğini vb. sözleşme şarltarını kabul eder </t>
  </si>
  <si>
    <t xml:space="preserve">Burs Veren </t>
  </si>
  <si>
    <t>Verdiği bilgilerin doğruluğu sözleşmesini kabul eder</t>
  </si>
  <si>
    <t xml:space="preserve">Verdiği taahhütlere uyacağını uymadığı durumda  taahhüt kadar cezai şartlarının olduğunu kabul eden sözleşmeyi imzalar </t>
  </si>
  <si>
    <t>Sözleşme</t>
  </si>
  <si>
    <t xml:space="preserve">Subject </t>
  </si>
  <si>
    <t>Başvuru</t>
  </si>
  <si>
    <t>Kişisel verilerini doldurur</t>
  </si>
  <si>
    <t xml:space="preserve">Okul bilgilerini doldurur </t>
  </si>
  <si>
    <t xml:space="preserve">Aile Bilgilerinin doldurur </t>
  </si>
  <si>
    <t>Aile Gelir Bilgileri doldurur</t>
  </si>
  <si>
    <t>Taşınmaz ile ilgili soruları doldurur</t>
  </si>
  <si>
    <t>Referans Bilgilerinin doldurur</t>
  </si>
  <si>
    <t xml:space="preserve">Referans Bilgilerinin doldurur 
 - Telefon numarasını girer sistemde tanımlı biri ise  Ad- Soyad'ı isternir girdiği bilgi içserideki ile tutuyor ise  ise o kişiyi seçer 
 - Telefon nuamrası sistemde yok ise  Telefon - AD, Soyad ile  şahit olarak davetiye  gönderimi yapılır </t>
  </si>
  <si>
    <t>Uygulamadaki rolünü belirler (Bursiyer, Şahit/Referans (Muhtar,Öğretmen), Burs Veren)</t>
  </si>
  <si>
    <t>Referans</t>
  </si>
  <si>
    <t xml:space="preserve">Başvuru Onay </t>
  </si>
  <si>
    <t xml:space="preserve">Fotoğraf ve Video yükler 
 - Kameradan çekim ile </t>
  </si>
  <si>
    <t xml:space="preserve">Video ile beyan </t>
  </si>
  <si>
    <t>Video ile talep ???</t>
  </si>
  <si>
    <t xml:space="preserve">Son bitirdiği okul diploma </t>
  </si>
  <si>
    <t xml:space="preserve">Son bitirdiği okul ortalama </t>
  </si>
  <si>
    <t xml:space="preserve">Şu anki okul öğrenci belgesi </t>
  </si>
  <si>
    <t xml:space="preserve">Şu anki okul öğrenci not ortalaması </t>
  </si>
  <si>
    <t xml:space="preserve">Kendine gelen onay talebi SMS, e-mail, bildirim ile sisteme girer </t>
  </si>
  <si>
    <t xml:space="preserve">Onayına  düşen listesi iş listesinde görür </t>
  </si>
  <si>
    <t xml:space="preserve">Başvuru detayının görüntüler </t>
  </si>
  <si>
    <t xml:space="preserve">Onay veya Red verir </t>
  </si>
  <si>
    <t xml:space="preserve">Red veriyor ise  Red Nedeninin detaylı olarak girer </t>
  </si>
  <si>
    <t xml:space="preserve">Başvuru Onay Durum Sorgulama </t>
  </si>
  <si>
    <t xml:space="preserve">Başvurunun onay statüsünün ne olduğuun görür </t>
  </si>
  <si>
    <t xml:space="preserve">Başvuru onay statüsü referans detayında cevapları görür </t>
  </si>
  <si>
    <t xml:space="preserve">Onaylı başvurusunun görüntülenme sayısını görür , en son ne zaman görüntülendiğini görür </t>
  </si>
  <si>
    <t xml:space="preserve">Başvurusunu İptal </t>
  </si>
  <si>
    <t xml:space="preserve">Başvurusunu iptal edebilir , yeni başvuru girebilir </t>
  </si>
  <si>
    <t xml:space="preserve">Burs Almamış Başvuruları Görüntüler </t>
  </si>
  <si>
    <t xml:space="preserve">Bursiyer ihtiyaç kadar veriyi görür </t>
  </si>
  <si>
    <t xml:space="preserve">Referans Bilgilerini ve yorumlarının görür </t>
  </si>
  <si>
    <t xml:space="preserve">Onay veriyor ise yorumlarının girer </t>
  </si>
  <si>
    <t xml:space="preserve">Bursiyeri seçer </t>
  </si>
  <si>
    <t xml:space="preserve">Vermek istediği burs miktarının girer. Tek Sefer, Aylık </t>
  </si>
  <si>
    <t xml:space="preserve">Kredi kartı Web ödeme ekranına yönlendirilir, ödemesini yapar </t>
  </si>
  <si>
    <t>Başvuruları Görüntüleme &amp; Seçimi</t>
  </si>
  <si>
    <t>Sistem</t>
  </si>
  <si>
    <t xml:space="preserve">Hesap Bilgileri </t>
  </si>
  <si>
    <t xml:space="preserve">Bursiyer Hesap bilgilerini girer </t>
  </si>
  <si>
    <t xml:space="preserve">Kredi Kartından tahsilat yapıldığında  bursiyere aldığı burs miktarı bilgilendirmeleri girer </t>
  </si>
  <si>
    <t>Bursiyer Programı Çalışanı</t>
  </si>
  <si>
    <t>Finans Ekibi</t>
  </si>
  <si>
    <t xml:space="preserve">Her ayın1 'in burs verilecek kişilerin listesinin alır ,bankaya gönderir ödemelerin yapılmasını sağlar </t>
  </si>
  <si>
    <t xml:space="preserve">Otomatik el değmeden gitmesi sağlanabilir mi? </t>
  </si>
  <si>
    <t xml:space="preserve">Phase </t>
  </si>
  <si>
    <t xml:space="preserve">1. Faz </t>
  </si>
  <si>
    <t>Aim</t>
  </si>
  <si>
    <t>:</t>
  </si>
  <si>
    <t>İçinde bulunduğumuz ekonomik şartlar okumanın çok zorlaştığı bu günlerde gerçekten ihtiyaç sahibi öğrenciler ile iyiliksever vatandaşları bir araya getirmek ve öğrencilerimiz ekonomik koşulları daha az düşünerek eğitime daha fazla konsentra olmalarını sağlamak</t>
  </si>
  <si>
    <t>Business</t>
  </si>
  <si>
    <t xml:space="preserve">Required Cost Items </t>
  </si>
  <si>
    <t>Zorunlu gider kalemleri: 
- Çalışan giderleri 
- Uygulama lisans, geliştirme ve bakım giderleri 
- Server giderleri 
- Devlet vergi, harçlar vb. kesintiler
- Operasyon maliyetler (bilgisayrar, telefon, vb.)</t>
  </si>
  <si>
    <t xml:space="preserve">Kar amacı gütmeden sadece bu aracılık hizmetinin devam edebilmesi için gereken zorunlu giderlerin karşılığı olarak;
- Sponsor gelirleri 
- Burs rakamı üzerinden yapılan kesinti tutarı 
- Burs veren ödemesi ile bursiyer ödemesi arasındaki zaman diliminde paranın işletilmesi 
- Uygulama içi reklamlar - ??? </t>
  </si>
  <si>
    <t>Capex</t>
  </si>
  <si>
    <t xml:space="preserve">Kurulum </t>
  </si>
  <si>
    <t>Şirket/Vakıf Kurulumu</t>
  </si>
  <si>
    <t>İnternet'te 3000-3500 TL arası yazıyor , buna git,gel toplantılar vb. diğer masraflar da eklenirse</t>
  </si>
  <si>
    <t xml:space="preserve">Lokayon </t>
  </si>
  <si>
    <t xml:space="preserve">Yer tutulamsı, deposit, emlakçı vb. </t>
  </si>
  <si>
    <t>Dekorasyon</t>
  </si>
  <si>
    <t xml:space="preserve">İçeriye harcanacak zorunlu ihtiyaçlar: Mutfak, Banyo , 10 kişilik oturma düzeni, toplantı odası, karşılma ofisi düzenlemesi </t>
  </si>
  <si>
    <t xml:space="preserve">Dokümantasyon, Broşür </t>
  </si>
  <si>
    <t>Kırtasiye</t>
  </si>
  <si>
    <t xml:space="preserve">Kırtasiye ihtiyaçları, kişi başı 250 TL desek </t>
  </si>
  <si>
    <t>Tanıtım</t>
  </si>
  <si>
    <t xml:space="preserve">Basılı görseller </t>
  </si>
  <si>
    <t xml:space="preserve">Internet Sayfası </t>
  </si>
  <si>
    <t xml:space="preserve">Internet tanıtım sayfası geliştirmesi </t>
  </si>
  <si>
    <t>Reklam Giderleri</t>
  </si>
  <si>
    <t xml:space="preserve">Google Reklam, Billboard Reklam, Radyo &amp; TV reklam </t>
  </si>
  <si>
    <t xml:space="preserve">IT </t>
  </si>
  <si>
    <t>Opex</t>
  </si>
  <si>
    <t>IT</t>
  </si>
  <si>
    <t xml:space="preserve">Aylık Internet Gideri </t>
  </si>
  <si>
    <t xml:space="preserve">100 Mbit 3 Hat Olsa Aylık 750 TL versek yıllık </t>
  </si>
  <si>
    <t>Ağ kurulumu</t>
  </si>
  <si>
    <t>Client Lisansları</t>
  </si>
  <si>
    <t>Windows, Office Lisanları</t>
  </si>
  <si>
    <t xml:space="preserve">Server Lisansları </t>
  </si>
  <si>
    <t xml:space="preserve">Cloud maliyetler eklenebilir </t>
  </si>
  <si>
    <t xml:space="preserve">Exchange Server lisansları </t>
  </si>
  <si>
    <t xml:space="preserve">Database Server </t>
  </si>
  <si>
    <t xml:space="preserve">MySQL olabilir, </t>
  </si>
  <si>
    <t>Uygulama Lisansları</t>
  </si>
  <si>
    <t>Lokasyon</t>
  </si>
  <si>
    <t xml:space="preserve">Aylık Kira Bedeli </t>
  </si>
  <si>
    <t>Elektirik, Su, Temizlik Giderleri, Aidat vb. Gderler</t>
  </si>
  <si>
    <t>Kira Giderleri</t>
  </si>
  <si>
    <t>İşletme Giderleri</t>
  </si>
  <si>
    <t>Vergi</t>
  </si>
  <si>
    <t>KDV Beyannemesi</t>
  </si>
  <si>
    <t xml:space="preserve">Gelir – Geçici Vergi Beyannamesi için Damga Vergisi: </t>
  </si>
  <si>
    <t>3 Ayda bir ödenmesi gereken Muhtasar Beyannamesi için Damga Vergisi: 103,50 T</t>
  </si>
  <si>
    <t xml:space="preserve"> Yılda bir kez verilmesi gereken Gelir Vergisi Beyannamesi Damga Vergisi: 132,30 T</t>
  </si>
  <si>
    <t xml:space="preserve">Muhasebe Uygulama Lisansı </t>
  </si>
  <si>
    <t>https://sifirdanglobale.com/vergi-hesaplama/?utm_source=google&amp;utm_medium=ads&amp;gclid=CjwKCAjw682TBhATEiwA9crl37MGCuCIUcMwbCLDsvObkPuruszFbZcYZ89NNrEyrCu4z-0AtlpwsBoCJC4QAvD_BwE</t>
  </si>
  <si>
    <t xml:space="preserve">Kaynak </t>
  </si>
  <si>
    <t>Firma Sahibi/Vakıf Başkanı</t>
  </si>
  <si>
    <t>Çalışanlar</t>
  </si>
  <si>
    <t xml:space="preserve">Yönetim Kurulu </t>
  </si>
  <si>
    <t xml:space="preserve">Project Yöneticisi </t>
  </si>
  <si>
    <t>IT Danışman</t>
  </si>
  <si>
    <t xml:space="preserve">IT Sistem &amp; Yazılım Mimarı </t>
  </si>
  <si>
    <t xml:space="preserve">IT Geliştirici </t>
  </si>
  <si>
    <t>1 Ön Yüz  Tasarımcı, 2 Backend Developer</t>
  </si>
  <si>
    <t xml:space="preserve">Finans </t>
  </si>
  <si>
    <t xml:space="preserve">Ön Muhasebe , Banka Yönetimi </t>
  </si>
  <si>
    <t>Operasyon</t>
  </si>
  <si>
    <t xml:space="preserve">Veri girişi, kontrolü, takibi, Whatsapp yazışmalar </t>
  </si>
  <si>
    <t xml:space="preserve">5- 10 kişilik Network </t>
  </si>
  <si>
    <t xml:space="preserve">Client Makine </t>
  </si>
  <si>
    <t xml:space="preserve">Ortalama bir  makine 20K olsa </t>
  </si>
  <si>
    <t xml:space="preserve">Hazır ofisler düşünülebilir, Sanal ofis yapısı düşünülebilr </t>
  </si>
  <si>
    <t>Sponsorlar</t>
  </si>
  <si>
    <t>Sorumlu Olunanlar</t>
  </si>
  <si>
    <t xml:space="preserve">Başka bir şey bulunabilir </t>
  </si>
  <si>
    <t xml:space="preserve">Mobil Yazılım altyapısı </t>
  </si>
  <si>
    <t>Bedava da olabilr ama o parayı kesin başka yerde lazm olabilr diye tutualdabilir</t>
  </si>
  <si>
    <t>Raporlama Sistemi Maliyetleri</t>
  </si>
  <si>
    <t xml:space="preserve">Başlangıç </t>
  </si>
  <si>
    <t>2.Ay</t>
  </si>
  <si>
    <t>1.Ay</t>
  </si>
  <si>
    <t>3.Ay</t>
  </si>
  <si>
    <t>4.Ay</t>
  </si>
  <si>
    <t>5.Ay</t>
  </si>
  <si>
    <t>6.Ay</t>
  </si>
  <si>
    <t>7.Ay</t>
  </si>
  <si>
    <t>8.Ay</t>
  </si>
  <si>
    <t>9.Ay</t>
  </si>
  <si>
    <t>10.Ay</t>
  </si>
  <si>
    <t>11.Ay</t>
  </si>
  <si>
    <t>12.Ay</t>
  </si>
  <si>
    <t xml:space="preserve">gönüllülük olduğu için makinesi olan briileri bulanabilir mi? </t>
  </si>
  <si>
    <t>10 kişi için</t>
  </si>
  <si>
    <t xml:space="preserve">Yıllık </t>
  </si>
  <si>
    <t>Net Maaş</t>
  </si>
  <si>
    <t xml:space="preserve">VergiNet 2022 'ye göre </t>
  </si>
  <si>
    <t xml:space="preserve">Parttime çalışacak biri olur bu maaşı alabilir </t>
  </si>
  <si>
    <t>Toplam Aylık Maliyet</t>
  </si>
  <si>
    <t xml:space="preserve">Öğrencilerden bulduğumuzu düşünüyoruz , Öğrenci olduğu için sigorta vb. yapmak zorunda mıyız , maliyet düşebilir </t>
  </si>
  <si>
    <t xml:space="preserve">Tam zamanlı olmak zorunda </t>
  </si>
  <si>
    <t xml:space="preserve">Logo'ya baktım </t>
  </si>
  <si>
    <t>Çalışan maaş giderleri</t>
  </si>
  <si>
    <t>Çalışan yemek giderleri</t>
  </si>
  <si>
    <t>Günlkük 40 tl den 21 gün desek ve 10 kişi için hesap etsek</t>
  </si>
  <si>
    <t>Aylık ödenene KDV beyannemesi gideri</t>
  </si>
  <si>
    <t>Çalışan Masraf</t>
  </si>
  <si>
    <t xml:space="preserve">Yol vb. masraflar , kişi başı aylık 250 TL desek , 10 kişi için </t>
  </si>
  <si>
    <t>Çalışan Yol Parası</t>
  </si>
  <si>
    <t xml:space="preserve">Aylık mavi kart ücreti 430 tl 2022 </t>
  </si>
  <si>
    <t>Risk</t>
  </si>
  <si>
    <t xml:space="preserve">Gözükmeyen Giderler Payı </t>
  </si>
  <si>
    <t>Toplam rakamın riski %20 olsa</t>
  </si>
  <si>
    <t xml:space="preserve">Gelir </t>
  </si>
  <si>
    <t>Gider</t>
  </si>
  <si>
    <t>Maliyetler</t>
  </si>
  <si>
    <t>Sponsor Gelirleri</t>
  </si>
  <si>
    <t>İşlem Gelirleri</t>
  </si>
  <si>
    <t>Kar/Zarar</t>
  </si>
  <si>
    <t>1. Yıl</t>
  </si>
  <si>
    <t>2. Yıl</t>
  </si>
  <si>
    <t>3. Yıl</t>
  </si>
  <si>
    <t xml:space="preserve">4. Yıl </t>
  </si>
  <si>
    <t xml:space="preserve">5. Yıl </t>
  </si>
  <si>
    <t>Finans</t>
  </si>
  <si>
    <t>Projecksiyon</t>
  </si>
  <si>
    <t>İşlem Hacmi</t>
  </si>
  <si>
    <t>Adet</t>
  </si>
  <si>
    <t>Hacim</t>
  </si>
  <si>
    <t>Sponsorluk</t>
  </si>
  <si>
    <t>Sponsor</t>
  </si>
  <si>
    <t>Burs Veren</t>
  </si>
  <si>
    <t>Hacim (Ortalama 1000 TL yardım )</t>
  </si>
  <si>
    <t>Aracılık Hizmeti %3 desek</t>
  </si>
  <si>
    <t>Çarpan</t>
  </si>
  <si>
    <t>Gelir Vergisi</t>
  </si>
  <si>
    <t xml:space="preserve">Pazarlama &amp; Satış </t>
  </si>
  <si>
    <t>Tanıtım, sponsorluk takibi için</t>
  </si>
  <si>
    <t xml:space="preserve">Gerçekçi gelmedi maliyetleri çok düşürmek lazım </t>
  </si>
  <si>
    <t>Reklam</t>
  </si>
  <si>
    <t>Uygulama İçi Reklam</t>
  </si>
  <si>
    <t>Hacim (Her bir reklam 1000 TL olsa)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</si>
</sst>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 #,##0.00\ &quot;₺&quot;_-;\-* #,##0.00\ &quot;₺&quot;_-;_-* &quot;-&quot;??\ &quot;₺&quot;_-;_-@_-"/>
  </numFmts>
  <fonts count="4" x14ac:knownFonts="1">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u/>
      <sz val="11"/>
      <color theme="10"/>
      <name val="Calibri"/>
      <family val="2"/>
      <charset val="162"/>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7">
    <xf numFmtId="0" fontId="0" fillId="0" borderId="0" xfId="0"/>
    <xf numFmtId="0" fontId="2" fillId="0" borderId="0" xfId="0" applyFont="1"/>
    <xf numFmtId="0" fontId="0" fillId="0" borderId="0" xfId="0" applyAlignment="1">
      <alignment wrapText="1"/>
    </xf>
    <xf numFmtId="0" fontId="0" fillId="0" borderId="0" xfId="0" applyFont="1"/>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44" fontId="0" fillId="0" borderId="0" xfId="1" applyFont="1"/>
    <xf numFmtId="0" fontId="3" fillId="0" borderId="0" xfId="2"/>
    <xf numFmtId="0" fontId="2" fillId="0" borderId="0" xfId="0" applyFont="1" applyAlignment="1">
      <alignment horizontal="center"/>
    </xf>
    <xf numFmtId="44" fontId="0" fillId="0" borderId="0" xfId="0" applyNumberFormat="1"/>
    <xf numFmtId="0" fontId="0" fillId="2" borderId="0" xfId="0" applyFill="1"/>
    <xf numFmtId="44" fontId="0" fillId="3" borderId="0" xfId="1" applyFont="1" applyFill="1"/>
    <xf numFmtId="44" fontId="1" fillId="0" borderId="0" xfId="1" applyFont="1"/>
    <xf numFmtId="9" fontId="0" fillId="0" borderId="0" xfId="0" applyNumberFormat="1"/>
    <xf numFmtId="44" fontId="0" fillId="0" borderId="0" xfId="0" applyNumberFormat="1" applyFont="1"/>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sifirdanglobale.com/vergi-hesaplama/?utm_source=google&amp;utm_medium=ads&amp;gclid=CjwKCAjw682TBhATEiwA9crl37MGCuCIUcMwbCLDsvObkPuruszFbZcYZ89NNrEyrCu4z-0AtlpwsBoCJC4QAvD_B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tabSelected="1" topLeftCell="A4" workbookViewId="0">
      <selection activeCell="C21" sqref="C21"/>
    </sheetView>
  </sheetViews>
  <sheetFormatPr defaultRowHeight="15" x14ac:dyDescent="0.25"/>
  <cols>
    <col min="2" max="2" width="24" bestFit="1" customWidth="1"/>
    <col min="3" max="3" width="32.85546875" customWidth="1"/>
    <col min="4" max="4" width="141.28515625" bestFit="1" customWidth="1"/>
  </cols>
  <sheetData>
    <row r="1" spans="1:4" x14ac:dyDescent="0.25">
      <c r="A1" s="1" t="s">
        <v>69</v>
      </c>
      <c r="B1" s="1" t="s">
        <v>0</v>
      </c>
      <c r="C1" s="1" t="s">
        <v>23</v>
      </c>
      <c r="D1" s="1" t="s">
        <v>1</v>
      </c>
    </row>
    <row r="2" spans="1:4" x14ac:dyDescent="0.25">
      <c r="A2" t="s">
        <v>70</v>
      </c>
      <c r="B2" t="s">
        <v>2</v>
      </c>
      <c r="D2" t="s">
        <v>3</v>
      </c>
    </row>
    <row r="3" spans="1:4" x14ac:dyDescent="0.25">
      <c r="D3" t="s">
        <v>4</v>
      </c>
    </row>
    <row r="4" spans="1:4" x14ac:dyDescent="0.25">
      <c r="D4" t="s">
        <v>5</v>
      </c>
    </row>
    <row r="5" spans="1:4" x14ac:dyDescent="0.25">
      <c r="D5" t="s">
        <v>32</v>
      </c>
    </row>
    <row r="6" spans="1:4" x14ac:dyDescent="0.25">
      <c r="D6" t="s">
        <v>6</v>
      </c>
    </row>
    <row r="7" spans="1:4" x14ac:dyDescent="0.25">
      <c r="D7" t="s">
        <v>7</v>
      </c>
    </row>
    <row r="8" spans="1:4" x14ac:dyDescent="0.25">
      <c r="D8" t="s">
        <v>8</v>
      </c>
    </row>
    <row r="9" spans="1:4" x14ac:dyDescent="0.25">
      <c r="D9" t="s">
        <v>9</v>
      </c>
    </row>
    <row r="10" spans="1:4" x14ac:dyDescent="0.25">
      <c r="D10" t="s">
        <v>10</v>
      </c>
    </row>
    <row r="11" spans="1:4" x14ac:dyDescent="0.25">
      <c r="D11" t="s">
        <v>11</v>
      </c>
    </row>
    <row r="12" spans="1:4" x14ac:dyDescent="0.25">
      <c r="C12" t="s">
        <v>22</v>
      </c>
      <c r="D12" t="s">
        <v>12</v>
      </c>
    </row>
    <row r="13" spans="1:4" x14ac:dyDescent="0.25">
      <c r="C13" t="s">
        <v>22</v>
      </c>
      <c r="D13" t="s">
        <v>13</v>
      </c>
    </row>
    <row r="14" spans="1:4" x14ac:dyDescent="0.25">
      <c r="C14" t="s">
        <v>22</v>
      </c>
      <c r="D14" t="s">
        <v>14</v>
      </c>
    </row>
    <row r="15" spans="1:4" x14ac:dyDescent="0.25">
      <c r="B15" t="s">
        <v>15</v>
      </c>
      <c r="C15" t="s">
        <v>22</v>
      </c>
      <c r="D15" t="s">
        <v>16</v>
      </c>
    </row>
    <row r="16" spans="1:4" x14ac:dyDescent="0.25">
      <c r="C16" t="s">
        <v>24</v>
      </c>
      <c r="D16" t="s">
        <v>25</v>
      </c>
    </row>
    <row r="17" spans="3:4" x14ac:dyDescent="0.25">
      <c r="C17" t="s">
        <v>24</v>
      </c>
      <c r="D17" t="s">
        <v>27</v>
      </c>
    </row>
    <row r="18" spans="3:4" x14ac:dyDescent="0.25">
      <c r="C18" t="s">
        <v>24</v>
      </c>
      <c r="D18" t="s">
        <v>28</v>
      </c>
    </row>
    <row r="19" spans="3:4" x14ac:dyDescent="0.25">
      <c r="C19" t="s">
        <v>24</v>
      </c>
      <c r="D19" t="s">
        <v>29</v>
      </c>
    </row>
    <row r="20" spans="3:4" x14ac:dyDescent="0.25">
      <c r="C20" t="s">
        <v>24</v>
      </c>
      <c r="D20" t="s">
        <v>26</v>
      </c>
    </row>
    <row r="21" spans="3:4" x14ac:dyDescent="0.25">
      <c r="C21" s="3" t="s">
        <v>24</v>
      </c>
      <c r="D21" t="s">
        <v>38</v>
      </c>
    </row>
    <row r="22" spans="3:4" x14ac:dyDescent="0.25">
      <c r="C22" s="3" t="s">
        <v>24</v>
      </c>
      <c r="D22" t="s">
        <v>39</v>
      </c>
    </row>
    <row r="23" spans="3:4" x14ac:dyDescent="0.25">
      <c r="C23" s="3" t="s">
        <v>24</v>
      </c>
      <c r="D23" t="s">
        <v>40</v>
      </c>
    </row>
    <row r="24" spans="3:4" x14ac:dyDescent="0.25">
      <c r="C24" s="3" t="s">
        <v>24</v>
      </c>
      <c r="D24" t="s">
        <v>41</v>
      </c>
    </row>
    <row r="25" spans="3:4" ht="45" x14ac:dyDescent="0.25">
      <c r="C25" t="s">
        <v>24</v>
      </c>
      <c r="D25" s="2" t="s">
        <v>31</v>
      </c>
    </row>
    <row r="26" spans="3:4" x14ac:dyDescent="0.25">
      <c r="C26" t="s">
        <v>24</v>
      </c>
      <c r="D26" t="s">
        <v>30</v>
      </c>
    </row>
    <row r="27" spans="3:4" x14ac:dyDescent="0.25">
      <c r="C27" t="s">
        <v>24</v>
      </c>
      <c r="D27" t="s">
        <v>30</v>
      </c>
    </row>
    <row r="28" spans="3:4" x14ac:dyDescent="0.25">
      <c r="C28" t="s">
        <v>24</v>
      </c>
      <c r="D28" t="s">
        <v>30</v>
      </c>
    </row>
    <row r="29" spans="3:4" ht="30" x14ac:dyDescent="0.25">
      <c r="C29" t="s">
        <v>24</v>
      </c>
      <c r="D29" s="2" t="s">
        <v>35</v>
      </c>
    </row>
    <row r="30" spans="3:4" x14ac:dyDescent="0.25">
      <c r="C30" t="s">
        <v>24</v>
      </c>
      <c r="D30" t="s">
        <v>36</v>
      </c>
    </row>
    <row r="31" spans="3:4" x14ac:dyDescent="0.25">
      <c r="C31" t="s">
        <v>24</v>
      </c>
      <c r="D31" t="s">
        <v>37</v>
      </c>
    </row>
    <row r="32" spans="3:4" x14ac:dyDescent="0.25">
      <c r="C32" t="s">
        <v>47</v>
      </c>
      <c r="D32" t="s">
        <v>48</v>
      </c>
    </row>
    <row r="33" spans="2:4" x14ac:dyDescent="0.25">
      <c r="C33" t="s">
        <v>47</v>
      </c>
      <c r="D33" t="s">
        <v>49</v>
      </c>
    </row>
    <row r="34" spans="2:4" x14ac:dyDescent="0.25">
      <c r="C34" t="s">
        <v>47</v>
      </c>
      <c r="D34" t="s">
        <v>50</v>
      </c>
    </row>
    <row r="35" spans="2:4" x14ac:dyDescent="0.25">
      <c r="C35" t="s">
        <v>51</v>
      </c>
      <c r="D35" t="s">
        <v>52</v>
      </c>
    </row>
    <row r="36" spans="2:4" x14ac:dyDescent="0.25">
      <c r="C36" t="s">
        <v>62</v>
      </c>
      <c r="D36" t="s">
        <v>63</v>
      </c>
    </row>
    <row r="41" spans="2:4" x14ac:dyDescent="0.25">
      <c r="B41" t="s">
        <v>33</v>
      </c>
      <c r="C41" t="s">
        <v>22</v>
      </c>
      <c r="D41" t="s">
        <v>17</v>
      </c>
    </row>
    <row r="42" spans="2:4" x14ac:dyDescent="0.25">
      <c r="C42" t="s">
        <v>22</v>
      </c>
      <c r="D42" t="s">
        <v>18</v>
      </c>
    </row>
    <row r="43" spans="2:4" x14ac:dyDescent="0.25">
      <c r="C43" t="s">
        <v>34</v>
      </c>
      <c r="D43" t="s">
        <v>42</v>
      </c>
    </row>
    <row r="44" spans="2:4" x14ac:dyDescent="0.25">
      <c r="C44" t="s">
        <v>34</v>
      </c>
      <c r="D44" t="s">
        <v>43</v>
      </c>
    </row>
    <row r="45" spans="2:4" x14ac:dyDescent="0.25">
      <c r="C45" t="s">
        <v>34</v>
      </c>
      <c r="D45" t="s">
        <v>44</v>
      </c>
    </row>
    <row r="46" spans="2:4" x14ac:dyDescent="0.25">
      <c r="C46" t="s">
        <v>34</v>
      </c>
      <c r="D46" t="s">
        <v>45</v>
      </c>
    </row>
    <row r="47" spans="2:4" x14ac:dyDescent="0.25">
      <c r="C47" t="s">
        <v>34</v>
      </c>
      <c r="D47" t="s">
        <v>46</v>
      </c>
    </row>
    <row r="48" spans="2:4" x14ac:dyDescent="0.25">
      <c r="C48" t="s">
        <v>34</v>
      </c>
      <c r="D48" t="s">
        <v>56</v>
      </c>
    </row>
    <row r="50" spans="2:5" x14ac:dyDescent="0.25">
      <c r="B50" t="s">
        <v>19</v>
      </c>
      <c r="C50" t="s">
        <v>22</v>
      </c>
      <c r="D50" t="s">
        <v>20</v>
      </c>
    </row>
    <row r="51" spans="2:5" x14ac:dyDescent="0.25">
      <c r="C51" t="s">
        <v>22</v>
      </c>
      <c r="D51" t="s">
        <v>21</v>
      </c>
    </row>
    <row r="52" spans="2:5" x14ac:dyDescent="0.25">
      <c r="C52" t="s">
        <v>60</v>
      </c>
      <c r="D52" t="s">
        <v>53</v>
      </c>
    </row>
    <row r="53" spans="2:5" x14ac:dyDescent="0.25">
      <c r="C53" t="s">
        <v>60</v>
      </c>
      <c r="D53" t="s">
        <v>54</v>
      </c>
    </row>
    <row r="54" spans="2:5" x14ac:dyDescent="0.25">
      <c r="C54" t="s">
        <v>60</v>
      </c>
      <c r="D54" t="s">
        <v>55</v>
      </c>
    </row>
    <row r="55" spans="2:5" x14ac:dyDescent="0.25">
      <c r="C55" t="s">
        <v>60</v>
      </c>
      <c r="D55" t="s">
        <v>57</v>
      </c>
    </row>
    <row r="56" spans="2:5" x14ac:dyDescent="0.25">
      <c r="C56" t="s">
        <v>60</v>
      </c>
      <c r="D56" t="s">
        <v>58</v>
      </c>
    </row>
    <row r="57" spans="2:5" x14ac:dyDescent="0.25">
      <c r="C57" t="s">
        <v>60</v>
      </c>
      <c r="D57" t="s">
        <v>59</v>
      </c>
    </row>
    <row r="59" spans="2:5" x14ac:dyDescent="0.25">
      <c r="B59" t="s">
        <v>61</v>
      </c>
      <c r="C59" t="s">
        <v>60</v>
      </c>
      <c r="D59" t="s">
        <v>64</v>
      </c>
    </row>
    <row r="62" spans="2:5" x14ac:dyDescent="0.25">
      <c r="B62" t="s">
        <v>65</v>
      </c>
      <c r="C62" t="s">
        <v>66</v>
      </c>
      <c r="D62" t="s">
        <v>67</v>
      </c>
      <c r="E62" t="s">
        <v>68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selection activeCell="C13" sqref="C13"/>
    </sheetView>
  </sheetViews>
  <sheetFormatPr defaultRowHeight="15" x14ac:dyDescent="0.25"/>
  <cols>
    <col min="1" max="1" width="39.5703125" customWidth="1"/>
    <col min="2" max="2" width="2.5703125" customWidth="1"/>
  </cols>
  <sheetData>
    <row r="1" spans="1:16" ht="65.25" customHeight="1" x14ac:dyDescent="0.25">
      <c r="A1" s="5" t="s">
        <v>71</v>
      </c>
      <c r="B1" s="4" t="s">
        <v>72</v>
      </c>
      <c r="C1" s="7" t="s">
        <v>73</v>
      </c>
      <c r="D1" s="7"/>
      <c r="E1" s="7"/>
      <c r="F1" s="7"/>
      <c r="G1" s="7"/>
      <c r="H1" s="7"/>
      <c r="I1" s="7"/>
      <c r="J1" s="7"/>
      <c r="K1" s="7"/>
      <c r="L1" s="7"/>
      <c r="M1" s="7"/>
      <c r="N1" s="7"/>
      <c r="O1" s="7"/>
      <c r="P1" s="7"/>
    </row>
    <row r="2" spans="1:16" ht="95.25" customHeight="1" x14ac:dyDescent="0.25">
      <c r="A2" s="5" t="s">
        <v>74</v>
      </c>
      <c r="B2" s="4" t="s">
        <v>72</v>
      </c>
      <c r="C2" s="7" t="s">
        <v>77</v>
      </c>
      <c r="D2" s="6"/>
      <c r="E2" s="6"/>
      <c r="F2" s="6"/>
      <c r="G2" s="6"/>
      <c r="H2" s="6"/>
      <c r="I2" s="6"/>
      <c r="J2" s="6"/>
      <c r="K2" s="6"/>
      <c r="L2" s="6"/>
      <c r="M2" s="6"/>
      <c r="N2" s="6"/>
      <c r="O2" s="6"/>
      <c r="P2" s="6"/>
    </row>
    <row r="3" spans="1:16" ht="115.5" customHeight="1" x14ac:dyDescent="0.25">
      <c r="A3" s="5" t="s">
        <v>75</v>
      </c>
      <c r="B3" s="4" t="s">
        <v>72</v>
      </c>
      <c r="C3" s="7" t="s">
        <v>76</v>
      </c>
      <c r="D3" s="6"/>
      <c r="E3" s="6"/>
      <c r="F3" s="6"/>
      <c r="G3" s="6"/>
      <c r="H3" s="6"/>
      <c r="I3" s="6"/>
      <c r="J3" s="6"/>
      <c r="K3" s="6"/>
      <c r="L3" s="6"/>
      <c r="M3" s="6"/>
      <c r="N3" s="6"/>
      <c r="O3" s="6"/>
      <c r="P3" s="6"/>
    </row>
    <row r="4" spans="1:16" x14ac:dyDescent="0.25">
      <c r="A4" s="5"/>
      <c r="B4" s="4" t="s">
        <v>72</v>
      </c>
      <c r="C4" s="6"/>
      <c r="D4" s="6"/>
      <c r="E4" s="6"/>
      <c r="F4" s="6"/>
      <c r="G4" s="6"/>
      <c r="H4" s="6"/>
      <c r="I4" s="6"/>
      <c r="J4" s="6"/>
      <c r="K4" s="6"/>
      <c r="L4" s="6"/>
      <c r="M4" s="6"/>
      <c r="N4" s="6"/>
      <c r="O4" s="6"/>
      <c r="P4" s="6"/>
    </row>
    <row r="5" spans="1:16" x14ac:dyDescent="0.25">
      <c r="A5" s="5"/>
      <c r="B5" s="5"/>
      <c r="C5" s="6"/>
      <c r="D5" s="6"/>
      <c r="E5" s="6"/>
      <c r="F5" s="6"/>
      <c r="G5" s="6"/>
      <c r="H5" s="6"/>
      <c r="I5" s="6"/>
      <c r="J5" s="6"/>
      <c r="K5" s="6"/>
      <c r="L5" s="6"/>
      <c r="M5" s="6"/>
      <c r="N5" s="6"/>
      <c r="O5" s="6"/>
      <c r="P5" s="6"/>
    </row>
    <row r="6" spans="1:16" x14ac:dyDescent="0.25">
      <c r="A6" s="5"/>
      <c r="B6" s="5"/>
      <c r="C6" s="6"/>
      <c r="D6" s="6"/>
      <c r="E6" s="6"/>
      <c r="F6" s="6"/>
      <c r="G6" s="6"/>
      <c r="H6" s="6"/>
      <c r="I6" s="6"/>
      <c r="J6" s="6"/>
      <c r="K6" s="6"/>
      <c r="L6" s="6"/>
      <c r="M6" s="6"/>
      <c r="N6" s="6"/>
      <c r="O6" s="6"/>
      <c r="P6" s="6"/>
    </row>
    <row r="7" spans="1:16" x14ac:dyDescent="0.25">
      <c r="A7" s="5"/>
      <c r="B7" s="5"/>
      <c r="C7" s="6"/>
      <c r="D7" s="6"/>
      <c r="E7" s="6"/>
      <c r="F7" s="6"/>
      <c r="G7" s="6"/>
      <c r="H7" s="6"/>
      <c r="I7" s="6"/>
      <c r="J7" s="6"/>
      <c r="K7" s="6"/>
      <c r="L7" s="6"/>
      <c r="M7" s="6"/>
      <c r="N7" s="6"/>
      <c r="O7" s="6"/>
      <c r="P7" s="6"/>
    </row>
    <row r="8" spans="1:16" x14ac:dyDescent="0.25">
      <c r="A8" s="5"/>
      <c r="B8" s="5"/>
      <c r="C8" s="6"/>
      <c r="D8" s="6"/>
      <c r="E8" s="6"/>
      <c r="F8" s="6"/>
      <c r="G8" s="6"/>
      <c r="H8" s="6"/>
      <c r="I8" s="6"/>
      <c r="J8" s="6"/>
      <c r="K8" s="6"/>
      <c r="L8" s="6"/>
      <c r="M8" s="6"/>
      <c r="N8" s="6"/>
      <c r="O8" s="6"/>
      <c r="P8" s="6"/>
    </row>
    <row r="9" spans="1:16" x14ac:dyDescent="0.25">
      <c r="A9" s="5"/>
      <c r="B9" s="5"/>
      <c r="C9" s="6"/>
      <c r="D9" s="6"/>
      <c r="E9" s="6"/>
      <c r="F9" s="6"/>
      <c r="G9" s="6"/>
      <c r="H9" s="6"/>
      <c r="I9" s="6"/>
      <c r="J9" s="6"/>
      <c r="K9" s="6"/>
      <c r="L9" s="6"/>
      <c r="M9" s="6"/>
      <c r="N9" s="6"/>
      <c r="O9" s="6"/>
      <c r="P9" s="6"/>
    </row>
    <row r="10" spans="1:16" x14ac:dyDescent="0.25">
      <c r="A10" s="5"/>
      <c r="B10" s="5"/>
      <c r="C10" s="6"/>
      <c r="D10" s="6"/>
      <c r="E10" s="6"/>
      <c r="F10" s="6"/>
      <c r="G10" s="6"/>
      <c r="H10" s="6"/>
      <c r="I10" s="6"/>
      <c r="J10" s="6"/>
      <c r="K10" s="6"/>
      <c r="L10" s="6"/>
      <c r="M10" s="6"/>
      <c r="N10" s="6"/>
      <c r="O10" s="6"/>
      <c r="P10" s="6"/>
    </row>
  </sheetData>
  <mergeCells count="10">
    <mergeCell ref="C7:P7"/>
    <mergeCell ref="C8:P8"/>
    <mergeCell ref="C9:P9"/>
    <mergeCell ref="C10:P10"/>
    <mergeCell ref="C1:P1"/>
    <mergeCell ref="C2:P2"/>
    <mergeCell ref="C3:P3"/>
    <mergeCell ref="C4:P4"/>
    <mergeCell ref="C5:P5"/>
    <mergeCell ref="C6:P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
  <sheetViews>
    <sheetView topLeftCell="A7" workbookViewId="0">
      <selection activeCell="G38" sqref="G38"/>
    </sheetView>
  </sheetViews>
  <sheetFormatPr defaultRowHeight="15" x14ac:dyDescent="0.25"/>
  <cols>
    <col min="1" max="1" width="20" customWidth="1"/>
    <col min="2" max="2" width="25.7109375" customWidth="1"/>
    <col min="3" max="3" width="28.140625" bestFit="1" customWidth="1"/>
    <col min="4" max="4" width="71.85546875" bestFit="1" customWidth="1"/>
    <col min="5" max="5" width="26.85546875" bestFit="1" customWidth="1"/>
    <col min="6" max="6" width="20.140625" customWidth="1"/>
    <col min="7" max="7" width="25" customWidth="1"/>
    <col min="8" max="8" width="13.28515625" style="8" bestFit="1" customWidth="1"/>
    <col min="9" max="19" width="13.28515625" bestFit="1" customWidth="1"/>
  </cols>
  <sheetData>
    <row r="1" spans="1:19" x14ac:dyDescent="0.25">
      <c r="F1" t="s">
        <v>144</v>
      </c>
      <c r="G1" t="s">
        <v>159</v>
      </c>
      <c r="H1" s="8" t="s">
        <v>146</v>
      </c>
      <c r="I1" t="s">
        <v>145</v>
      </c>
      <c r="J1" t="s">
        <v>147</v>
      </c>
      <c r="K1" t="s">
        <v>148</v>
      </c>
      <c r="L1" t="s">
        <v>149</v>
      </c>
      <c r="M1" t="s">
        <v>150</v>
      </c>
      <c r="N1" t="s">
        <v>151</v>
      </c>
      <c r="O1" t="s">
        <v>152</v>
      </c>
      <c r="P1" t="s">
        <v>153</v>
      </c>
      <c r="Q1" t="s">
        <v>154</v>
      </c>
      <c r="R1" t="s">
        <v>155</v>
      </c>
      <c r="S1" t="s">
        <v>156</v>
      </c>
    </row>
    <row r="2" spans="1:19" x14ac:dyDescent="0.25">
      <c r="A2" t="s">
        <v>78</v>
      </c>
      <c r="B2" t="s">
        <v>79</v>
      </c>
      <c r="C2" t="s">
        <v>80</v>
      </c>
      <c r="D2" t="s">
        <v>81</v>
      </c>
      <c r="F2" s="8">
        <v>-10000</v>
      </c>
      <c r="G2" s="13">
        <f>SUM(H2:S2)</f>
        <v>0</v>
      </c>
      <c r="I2" s="11">
        <f>H2</f>
        <v>0</v>
      </c>
      <c r="J2" s="11">
        <f t="shared" ref="J2:S2" si="0">I2</f>
        <v>0</v>
      </c>
      <c r="K2" s="11">
        <f t="shared" si="0"/>
        <v>0</v>
      </c>
      <c r="L2" s="11">
        <f t="shared" si="0"/>
        <v>0</v>
      </c>
      <c r="M2" s="11">
        <f t="shared" si="0"/>
        <v>0</v>
      </c>
      <c r="N2" s="11">
        <f t="shared" si="0"/>
        <v>0</v>
      </c>
      <c r="O2" s="11">
        <f t="shared" si="0"/>
        <v>0</v>
      </c>
      <c r="P2" s="11">
        <f t="shared" si="0"/>
        <v>0</v>
      </c>
      <c r="Q2" s="11">
        <f t="shared" si="0"/>
        <v>0</v>
      </c>
      <c r="R2" s="11">
        <f t="shared" si="0"/>
        <v>0</v>
      </c>
      <c r="S2" s="11">
        <f t="shared" si="0"/>
        <v>0</v>
      </c>
    </row>
    <row r="3" spans="1:19" x14ac:dyDescent="0.25">
      <c r="C3" t="s">
        <v>82</v>
      </c>
      <c r="D3" t="s">
        <v>83</v>
      </c>
      <c r="F3" s="8">
        <v>-25000</v>
      </c>
      <c r="G3" s="13">
        <f t="shared" ref="G3:G30" si="1">SUM(H3:S3)</f>
        <v>0</v>
      </c>
      <c r="I3" s="11">
        <f t="shared" ref="I3:S3" si="2">H3</f>
        <v>0</v>
      </c>
      <c r="J3" s="11">
        <f t="shared" si="2"/>
        <v>0</v>
      </c>
      <c r="K3" s="11">
        <f t="shared" si="2"/>
        <v>0</v>
      </c>
      <c r="L3" s="11">
        <f t="shared" si="2"/>
        <v>0</v>
      </c>
      <c r="M3" s="11">
        <f t="shared" si="2"/>
        <v>0</v>
      </c>
      <c r="N3" s="11">
        <f t="shared" si="2"/>
        <v>0</v>
      </c>
      <c r="O3" s="11">
        <f t="shared" si="2"/>
        <v>0</v>
      </c>
      <c r="P3" s="11">
        <f t="shared" si="2"/>
        <v>0</v>
      </c>
      <c r="Q3" s="11">
        <f t="shared" si="2"/>
        <v>0</v>
      </c>
      <c r="R3" s="11">
        <f t="shared" si="2"/>
        <v>0</v>
      </c>
      <c r="S3" s="11">
        <f t="shared" si="2"/>
        <v>0</v>
      </c>
    </row>
    <row r="4" spans="1:19" x14ac:dyDescent="0.25">
      <c r="C4" t="s">
        <v>84</v>
      </c>
      <c r="D4" t="s">
        <v>85</v>
      </c>
      <c r="F4" s="8">
        <v>-250000</v>
      </c>
      <c r="G4" s="13">
        <f t="shared" si="1"/>
        <v>-6000</v>
      </c>
      <c r="H4" s="8">
        <v>-500</v>
      </c>
      <c r="I4" s="11">
        <f t="shared" ref="I4:S4" si="3">H4</f>
        <v>-500</v>
      </c>
      <c r="J4" s="11">
        <f t="shared" si="3"/>
        <v>-500</v>
      </c>
      <c r="K4" s="11">
        <f t="shared" si="3"/>
        <v>-500</v>
      </c>
      <c r="L4" s="11">
        <f t="shared" si="3"/>
        <v>-500</v>
      </c>
      <c r="M4" s="11">
        <f t="shared" si="3"/>
        <v>-500</v>
      </c>
      <c r="N4" s="11">
        <f t="shared" si="3"/>
        <v>-500</v>
      </c>
      <c r="O4" s="11">
        <f t="shared" si="3"/>
        <v>-500</v>
      </c>
      <c r="P4" s="11">
        <f t="shared" si="3"/>
        <v>-500</v>
      </c>
      <c r="Q4" s="11">
        <f t="shared" si="3"/>
        <v>-500</v>
      </c>
      <c r="R4" s="11">
        <f t="shared" si="3"/>
        <v>-500</v>
      </c>
      <c r="S4" s="11">
        <f t="shared" si="3"/>
        <v>-500</v>
      </c>
    </row>
    <row r="5" spans="1:19" x14ac:dyDescent="0.25">
      <c r="C5" t="s">
        <v>87</v>
      </c>
      <c r="D5" t="s">
        <v>88</v>
      </c>
      <c r="F5" s="8">
        <v>-2500</v>
      </c>
      <c r="G5" s="13">
        <f t="shared" si="1"/>
        <v>-3000</v>
      </c>
      <c r="H5" s="8">
        <v>-250</v>
      </c>
      <c r="I5" s="11">
        <f t="shared" ref="I5:S5" si="4">H5</f>
        <v>-250</v>
      </c>
      <c r="J5" s="11">
        <f t="shared" si="4"/>
        <v>-250</v>
      </c>
      <c r="K5" s="11">
        <f t="shared" si="4"/>
        <v>-250</v>
      </c>
      <c r="L5" s="11">
        <f t="shared" si="4"/>
        <v>-250</v>
      </c>
      <c r="M5" s="11">
        <f t="shared" si="4"/>
        <v>-250</v>
      </c>
      <c r="N5" s="11">
        <f t="shared" si="4"/>
        <v>-250</v>
      </c>
      <c r="O5" s="11">
        <f t="shared" si="4"/>
        <v>-250</v>
      </c>
      <c r="P5" s="11">
        <f t="shared" si="4"/>
        <v>-250</v>
      </c>
      <c r="Q5" s="11">
        <f t="shared" si="4"/>
        <v>-250</v>
      </c>
      <c r="R5" s="11">
        <f t="shared" si="4"/>
        <v>-250</v>
      </c>
      <c r="S5" s="11">
        <f t="shared" si="4"/>
        <v>-250</v>
      </c>
    </row>
    <row r="6" spans="1:19" x14ac:dyDescent="0.25">
      <c r="B6" t="s">
        <v>89</v>
      </c>
      <c r="C6" t="s">
        <v>86</v>
      </c>
      <c r="D6" t="s">
        <v>90</v>
      </c>
      <c r="F6" s="8"/>
      <c r="G6" s="13">
        <f t="shared" si="1"/>
        <v>-240000</v>
      </c>
      <c r="H6" s="8">
        <v>-20000</v>
      </c>
      <c r="I6" s="11">
        <f t="shared" ref="I6:S6" si="5">H6</f>
        <v>-20000</v>
      </c>
      <c r="J6" s="11">
        <f t="shared" si="5"/>
        <v>-20000</v>
      </c>
      <c r="K6" s="11">
        <f t="shared" si="5"/>
        <v>-20000</v>
      </c>
      <c r="L6" s="11">
        <f t="shared" si="5"/>
        <v>-20000</v>
      </c>
      <c r="M6" s="11">
        <f t="shared" si="5"/>
        <v>-20000</v>
      </c>
      <c r="N6" s="11">
        <f t="shared" si="5"/>
        <v>-20000</v>
      </c>
      <c r="O6" s="11">
        <f t="shared" si="5"/>
        <v>-20000</v>
      </c>
      <c r="P6" s="11">
        <f t="shared" si="5"/>
        <v>-20000</v>
      </c>
      <c r="Q6" s="11">
        <f t="shared" si="5"/>
        <v>-20000</v>
      </c>
      <c r="R6" s="11">
        <f t="shared" si="5"/>
        <v>-20000</v>
      </c>
      <c r="S6" s="11">
        <f t="shared" si="5"/>
        <v>-20000</v>
      </c>
    </row>
    <row r="7" spans="1:19" x14ac:dyDescent="0.25">
      <c r="C7" t="s">
        <v>91</v>
      </c>
      <c r="D7" t="s">
        <v>92</v>
      </c>
      <c r="F7" s="8"/>
      <c r="G7" s="13">
        <f t="shared" si="1"/>
        <v>-12000</v>
      </c>
      <c r="H7" s="8">
        <v>-1000</v>
      </c>
      <c r="I7" s="11">
        <f t="shared" ref="I7:S7" si="6">H7</f>
        <v>-1000</v>
      </c>
      <c r="J7" s="11">
        <f t="shared" si="6"/>
        <v>-1000</v>
      </c>
      <c r="K7" s="11">
        <f t="shared" si="6"/>
        <v>-1000</v>
      </c>
      <c r="L7" s="11">
        <f t="shared" si="6"/>
        <v>-1000</v>
      </c>
      <c r="M7" s="11">
        <f t="shared" si="6"/>
        <v>-1000</v>
      </c>
      <c r="N7" s="11">
        <f t="shared" si="6"/>
        <v>-1000</v>
      </c>
      <c r="O7" s="11">
        <f t="shared" si="6"/>
        <v>-1000</v>
      </c>
      <c r="P7" s="11">
        <f t="shared" si="6"/>
        <v>-1000</v>
      </c>
      <c r="Q7" s="11">
        <f t="shared" si="6"/>
        <v>-1000</v>
      </c>
      <c r="R7" s="11">
        <f t="shared" si="6"/>
        <v>-1000</v>
      </c>
      <c r="S7" s="11">
        <f t="shared" si="6"/>
        <v>-1000</v>
      </c>
    </row>
    <row r="8" spans="1:19" x14ac:dyDescent="0.25">
      <c r="C8" t="s">
        <v>93</v>
      </c>
      <c r="D8" t="s">
        <v>94</v>
      </c>
      <c r="F8" s="8"/>
      <c r="G8" s="13">
        <f t="shared" si="1"/>
        <v>-120000</v>
      </c>
      <c r="H8" s="8">
        <v>-10000</v>
      </c>
      <c r="I8" s="11">
        <f t="shared" ref="I8:S8" si="7">H8</f>
        <v>-10000</v>
      </c>
      <c r="J8" s="11">
        <f t="shared" si="7"/>
        <v>-10000</v>
      </c>
      <c r="K8" s="11">
        <f t="shared" si="7"/>
        <v>-10000</v>
      </c>
      <c r="L8" s="11">
        <f t="shared" si="7"/>
        <v>-10000</v>
      </c>
      <c r="M8" s="11">
        <f t="shared" si="7"/>
        <v>-10000</v>
      </c>
      <c r="N8" s="11">
        <f t="shared" si="7"/>
        <v>-10000</v>
      </c>
      <c r="O8" s="11">
        <f t="shared" si="7"/>
        <v>-10000</v>
      </c>
      <c r="P8" s="11">
        <f t="shared" si="7"/>
        <v>-10000</v>
      </c>
      <c r="Q8" s="11">
        <f t="shared" si="7"/>
        <v>-10000</v>
      </c>
      <c r="R8" s="11">
        <f t="shared" si="7"/>
        <v>-10000</v>
      </c>
      <c r="S8" s="11">
        <f t="shared" si="7"/>
        <v>-10000</v>
      </c>
    </row>
    <row r="9" spans="1:19" x14ac:dyDescent="0.25">
      <c r="G9" s="13">
        <f t="shared" si="1"/>
        <v>0</v>
      </c>
      <c r="I9" s="11">
        <f t="shared" ref="I9:S9" si="8">H9</f>
        <v>0</v>
      </c>
      <c r="J9" s="11">
        <f t="shared" si="8"/>
        <v>0</v>
      </c>
      <c r="K9" s="11">
        <f t="shared" si="8"/>
        <v>0</v>
      </c>
      <c r="L9" s="11">
        <f t="shared" si="8"/>
        <v>0</v>
      </c>
      <c r="M9" s="11">
        <f t="shared" si="8"/>
        <v>0</v>
      </c>
      <c r="N9" s="11">
        <f t="shared" si="8"/>
        <v>0</v>
      </c>
      <c r="O9" s="11">
        <f t="shared" si="8"/>
        <v>0</v>
      </c>
      <c r="P9" s="11">
        <f t="shared" si="8"/>
        <v>0</v>
      </c>
      <c r="Q9" s="11">
        <f t="shared" si="8"/>
        <v>0</v>
      </c>
      <c r="R9" s="11">
        <f t="shared" si="8"/>
        <v>0</v>
      </c>
      <c r="S9" s="11">
        <f t="shared" si="8"/>
        <v>0</v>
      </c>
    </row>
    <row r="10" spans="1:19" x14ac:dyDescent="0.25">
      <c r="B10" t="s">
        <v>95</v>
      </c>
      <c r="C10" t="s">
        <v>100</v>
      </c>
      <c r="D10" t="s">
        <v>134</v>
      </c>
      <c r="F10" s="12"/>
      <c r="G10" s="13">
        <f t="shared" si="1"/>
        <v>0</v>
      </c>
      <c r="I10" s="11">
        <f t="shared" ref="I10:S10" si="9">H10</f>
        <v>0</v>
      </c>
      <c r="J10" s="11">
        <f t="shared" si="9"/>
        <v>0</v>
      </c>
      <c r="K10" s="11">
        <f t="shared" si="9"/>
        <v>0</v>
      </c>
      <c r="L10" s="11">
        <f t="shared" si="9"/>
        <v>0</v>
      </c>
      <c r="M10" s="11">
        <f t="shared" si="9"/>
        <v>0</v>
      </c>
      <c r="N10" s="11">
        <f t="shared" si="9"/>
        <v>0</v>
      </c>
      <c r="O10" s="11">
        <f t="shared" si="9"/>
        <v>0</v>
      </c>
      <c r="P10" s="11">
        <f t="shared" si="9"/>
        <v>0</v>
      </c>
      <c r="Q10" s="11">
        <f t="shared" si="9"/>
        <v>0</v>
      </c>
      <c r="R10" s="11">
        <f t="shared" si="9"/>
        <v>0</v>
      </c>
      <c r="S10" s="11">
        <f t="shared" si="9"/>
        <v>0</v>
      </c>
    </row>
    <row r="11" spans="1:19" x14ac:dyDescent="0.25">
      <c r="C11" t="s">
        <v>135</v>
      </c>
      <c r="D11" t="s">
        <v>136</v>
      </c>
      <c r="E11" t="s">
        <v>157</v>
      </c>
      <c r="F11" s="8">
        <f>-20000*10</f>
        <v>-200000</v>
      </c>
      <c r="G11" s="13">
        <f t="shared" si="1"/>
        <v>0</v>
      </c>
      <c r="I11" s="11">
        <f t="shared" ref="I11:S11" si="10">H11</f>
        <v>0</v>
      </c>
      <c r="J11" s="11">
        <f t="shared" si="10"/>
        <v>0</v>
      </c>
      <c r="K11" s="11">
        <f t="shared" si="10"/>
        <v>0</v>
      </c>
      <c r="L11" s="11">
        <f t="shared" si="10"/>
        <v>0</v>
      </c>
      <c r="M11" s="11">
        <f t="shared" si="10"/>
        <v>0</v>
      </c>
      <c r="N11" s="11">
        <f t="shared" si="10"/>
        <v>0</v>
      </c>
      <c r="O11" s="11">
        <f t="shared" si="10"/>
        <v>0</v>
      </c>
      <c r="P11" s="11">
        <f t="shared" si="10"/>
        <v>0</v>
      </c>
      <c r="Q11" s="11">
        <f t="shared" si="10"/>
        <v>0</v>
      </c>
      <c r="R11" s="11">
        <f t="shared" si="10"/>
        <v>0</v>
      </c>
      <c r="S11" s="11">
        <f t="shared" si="10"/>
        <v>0</v>
      </c>
    </row>
    <row r="12" spans="1:19" x14ac:dyDescent="0.25">
      <c r="C12" t="s">
        <v>101</v>
      </c>
      <c r="D12" t="s">
        <v>102</v>
      </c>
      <c r="E12" t="s">
        <v>158</v>
      </c>
      <c r="G12" s="13">
        <f t="shared" si="1"/>
        <v>-500.00000000000006</v>
      </c>
      <c r="H12" s="8">
        <f>(-50*10)/12</f>
        <v>-41.666666666666664</v>
      </c>
      <c r="I12" s="11">
        <f t="shared" ref="I12:S12" si="11">H12</f>
        <v>-41.666666666666664</v>
      </c>
      <c r="J12" s="11">
        <f t="shared" si="11"/>
        <v>-41.666666666666664</v>
      </c>
      <c r="K12" s="11">
        <f t="shared" si="11"/>
        <v>-41.666666666666664</v>
      </c>
      <c r="L12" s="11">
        <f t="shared" si="11"/>
        <v>-41.666666666666664</v>
      </c>
      <c r="M12" s="11">
        <f t="shared" si="11"/>
        <v>-41.666666666666664</v>
      </c>
      <c r="N12" s="11">
        <f t="shared" si="11"/>
        <v>-41.666666666666664</v>
      </c>
      <c r="O12" s="11">
        <f t="shared" si="11"/>
        <v>-41.666666666666664</v>
      </c>
      <c r="P12" s="11">
        <f t="shared" si="11"/>
        <v>-41.666666666666664</v>
      </c>
      <c r="Q12" s="11">
        <f t="shared" si="11"/>
        <v>-41.666666666666664</v>
      </c>
      <c r="R12" s="11">
        <f t="shared" si="11"/>
        <v>-41.666666666666664</v>
      </c>
      <c r="S12" s="11">
        <f t="shared" si="11"/>
        <v>-41.666666666666664</v>
      </c>
    </row>
    <row r="13" spans="1:19" x14ac:dyDescent="0.25">
      <c r="C13" t="s">
        <v>103</v>
      </c>
      <c r="D13" t="s">
        <v>105</v>
      </c>
      <c r="E13" t="s">
        <v>104</v>
      </c>
      <c r="G13" s="13">
        <f t="shared" si="1"/>
        <v>0</v>
      </c>
      <c r="I13" s="11">
        <f t="shared" ref="I13:S13" si="12">H13</f>
        <v>0</v>
      </c>
      <c r="J13" s="11">
        <f t="shared" si="12"/>
        <v>0</v>
      </c>
      <c r="K13" s="11">
        <f t="shared" si="12"/>
        <v>0</v>
      </c>
      <c r="L13" s="11">
        <f t="shared" si="12"/>
        <v>0</v>
      </c>
      <c r="M13" s="11">
        <f t="shared" si="12"/>
        <v>0</v>
      </c>
      <c r="N13" s="11">
        <f t="shared" si="12"/>
        <v>0</v>
      </c>
      <c r="O13" s="11">
        <f t="shared" si="12"/>
        <v>0</v>
      </c>
      <c r="P13" s="11">
        <f t="shared" si="12"/>
        <v>0</v>
      </c>
      <c r="Q13" s="11">
        <f t="shared" si="12"/>
        <v>0</v>
      </c>
      <c r="R13" s="11">
        <f t="shared" si="12"/>
        <v>0</v>
      </c>
      <c r="S13" s="11">
        <f t="shared" si="12"/>
        <v>0</v>
      </c>
    </row>
    <row r="14" spans="1:19" x14ac:dyDescent="0.25">
      <c r="C14" t="s">
        <v>106</v>
      </c>
      <c r="D14" t="s">
        <v>107</v>
      </c>
      <c r="E14" t="s">
        <v>104</v>
      </c>
      <c r="G14" s="13">
        <f t="shared" si="1"/>
        <v>0</v>
      </c>
      <c r="I14" s="11">
        <f t="shared" ref="I14:S14" si="13">H14</f>
        <v>0</v>
      </c>
      <c r="J14" s="11">
        <f t="shared" si="13"/>
        <v>0</v>
      </c>
      <c r="K14" s="11">
        <f t="shared" si="13"/>
        <v>0</v>
      </c>
      <c r="L14" s="11">
        <f t="shared" si="13"/>
        <v>0</v>
      </c>
      <c r="M14" s="11">
        <f t="shared" si="13"/>
        <v>0</v>
      </c>
      <c r="N14" s="11">
        <f t="shared" si="13"/>
        <v>0</v>
      </c>
      <c r="O14" s="11">
        <f t="shared" si="13"/>
        <v>0</v>
      </c>
      <c r="P14" s="11">
        <f t="shared" si="13"/>
        <v>0</v>
      </c>
      <c r="Q14" s="11">
        <f t="shared" si="13"/>
        <v>0</v>
      </c>
      <c r="R14" s="11">
        <f t="shared" si="13"/>
        <v>0</v>
      </c>
      <c r="S14" s="11">
        <f t="shared" si="13"/>
        <v>0</v>
      </c>
    </row>
    <row r="15" spans="1:19" x14ac:dyDescent="0.25">
      <c r="C15" t="s">
        <v>108</v>
      </c>
      <c r="D15" t="s">
        <v>141</v>
      </c>
      <c r="E15" t="s">
        <v>142</v>
      </c>
      <c r="F15" s="8">
        <v>-150000</v>
      </c>
      <c r="G15" s="13">
        <f t="shared" si="1"/>
        <v>0</v>
      </c>
      <c r="I15" s="11">
        <f t="shared" ref="I15:S15" si="14">H15</f>
        <v>0</v>
      </c>
      <c r="J15" s="11">
        <f t="shared" si="14"/>
        <v>0</v>
      </c>
      <c r="K15" s="11">
        <f t="shared" si="14"/>
        <v>0</v>
      </c>
      <c r="L15" s="11">
        <f t="shared" si="14"/>
        <v>0</v>
      </c>
      <c r="M15" s="11">
        <f t="shared" si="14"/>
        <v>0</v>
      </c>
      <c r="N15" s="11">
        <f t="shared" si="14"/>
        <v>0</v>
      </c>
      <c r="O15" s="11">
        <f t="shared" si="14"/>
        <v>0</v>
      </c>
      <c r="P15" s="11">
        <f t="shared" si="14"/>
        <v>0</v>
      </c>
      <c r="Q15" s="11">
        <f t="shared" si="14"/>
        <v>0</v>
      </c>
      <c r="R15" s="11">
        <f t="shared" si="14"/>
        <v>0</v>
      </c>
      <c r="S15" s="11">
        <f t="shared" si="14"/>
        <v>0</v>
      </c>
    </row>
    <row r="16" spans="1:19" x14ac:dyDescent="0.25">
      <c r="C16" t="s">
        <v>119</v>
      </c>
      <c r="D16" t="s">
        <v>166</v>
      </c>
      <c r="E16" t="s">
        <v>140</v>
      </c>
      <c r="F16" s="8"/>
      <c r="G16" s="13">
        <f t="shared" si="1"/>
        <v>-199999.99999999997</v>
      </c>
      <c r="H16" s="8">
        <f>-200000/12</f>
        <v>-16666.666666666668</v>
      </c>
      <c r="I16" s="11">
        <f t="shared" ref="I16:S16" si="15">H16</f>
        <v>-16666.666666666668</v>
      </c>
      <c r="J16" s="11">
        <f t="shared" si="15"/>
        <v>-16666.666666666668</v>
      </c>
      <c r="K16" s="11">
        <f t="shared" si="15"/>
        <v>-16666.666666666668</v>
      </c>
      <c r="L16" s="11">
        <f t="shared" si="15"/>
        <v>-16666.666666666668</v>
      </c>
      <c r="M16" s="11">
        <f t="shared" si="15"/>
        <v>-16666.666666666668</v>
      </c>
      <c r="N16" s="11">
        <f t="shared" si="15"/>
        <v>-16666.666666666668</v>
      </c>
      <c r="O16" s="11">
        <f t="shared" si="15"/>
        <v>-16666.666666666668</v>
      </c>
      <c r="P16" s="11">
        <f t="shared" si="15"/>
        <v>-16666.666666666668</v>
      </c>
      <c r="Q16" s="11">
        <f t="shared" si="15"/>
        <v>-16666.666666666668</v>
      </c>
      <c r="R16" s="11">
        <f t="shared" si="15"/>
        <v>-16666.666666666668</v>
      </c>
      <c r="S16" s="11">
        <f t="shared" si="15"/>
        <v>-16666.666666666668</v>
      </c>
    </row>
    <row r="17" spans="1:19" x14ac:dyDescent="0.25">
      <c r="C17" t="s">
        <v>143</v>
      </c>
      <c r="E17" t="s">
        <v>104</v>
      </c>
      <c r="F17" s="8"/>
      <c r="G17" s="13">
        <f t="shared" si="1"/>
        <v>-709.99999999999989</v>
      </c>
      <c r="H17" s="8">
        <f>-710/12</f>
        <v>-59.166666666666664</v>
      </c>
      <c r="I17" s="11">
        <f t="shared" ref="I17:S17" si="16">H17</f>
        <v>-59.166666666666664</v>
      </c>
      <c r="J17" s="11">
        <f t="shared" si="16"/>
        <v>-59.166666666666664</v>
      </c>
      <c r="K17" s="11">
        <f t="shared" si="16"/>
        <v>-59.166666666666664</v>
      </c>
      <c r="L17" s="11">
        <f t="shared" si="16"/>
        <v>-59.166666666666664</v>
      </c>
      <c r="M17" s="11">
        <f t="shared" si="16"/>
        <v>-59.166666666666664</v>
      </c>
      <c r="N17" s="11">
        <f t="shared" si="16"/>
        <v>-59.166666666666664</v>
      </c>
      <c r="O17" s="11">
        <f t="shared" si="16"/>
        <v>-59.166666666666664</v>
      </c>
      <c r="P17" s="11">
        <f t="shared" si="16"/>
        <v>-59.166666666666664</v>
      </c>
      <c r="Q17" s="11">
        <f t="shared" si="16"/>
        <v>-59.166666666666664</v>
      </c>
      <c r="R17" s="11">
        <f t="shared" si="16"/>
        <v>-59.166666666666664</v>
      </c>
      <c r="S17" s="11">
        <f t="shared" si="16"/>
        <v>-59.166666666666664</v>
      </c>
    </row>
    <row r="18" spans="1:19" x14ac:dyDescent="0.25">
      <c r="G18" s="13">
        <f t="shared" si="1"/>
        <v>0</v>
      </c>
      <c r="I18" s="11">
        <f t="shared" ref="I18:S18" si="17">H18</f>
        <v>0</v>
      </c>
      <c r="J18" s="11">
        <f t="shared" si="17"/>
        <v>0</v>
      </c>
      <c r="K18" s="11">
        <f t="shared" si="17"/>
        <v>0</v>
      </c>
      <c r="L18" s="11">
        <f t="shared" si="17"/>
        <v>0</v>
      </c>
      <c r="M18" s="11">
        <f t="shared" si="17"/>
        <v>0</v>
      </c>
      <c r="N18" s="11">
        <f t="shared" si="17"/>
        <v>0</v>
      </c>
      <c r="O18" s="11">
        <f t="shared" si="17"/>
        <v>0</v>
      </c>
      <c r="P18" s="11">
        <f t="shared" si="17"/>
        <v>0</v>
      </c>
      <c r="Q18" s="11">
        <f t="shared" si="17"/>
        <v>0</v>
      </c>
      <c r="R18" s="11">
        <f t="shared" si="17"/>
        <v>0</v>
      </c>
      <c r="S18" s="11">
        <f t="shared" si="17"/>
        <v>0</v>
      </c>
    </row>
    <row r="19" spans="1:19" x14ac:dyDescent="0.25">
      <c r="A19" t="s">
        <v>96</v>
      </c>
      <c r="B19" t="s">
        <v>109</v>
      </c>
      <c r="C19" t="s">
        <v>112</v>
      </c>
      <c r="D19" t="s">
        <v>110</v>
      </c>
      <c r="E19" t="s">
        <v>137</v>
      </c>
      <c r="F19" s="8"/>
      <c r="G19" s="13">
        <f t="shared" si="1"/>
        <v>-300000</v>
      </c>
      <c r="H19" s="8">
        <v>-25000</v>
      </c>
      <c r="I19" s="11">
        <f t="shared" ref="I19:S19" si="18">H19</f>
        <v>-25000</v>
      </c>
      <c r="J19" s="11">
        <f t="shared" si="18"/>
        <v>-25000</v>
      </c>
      <c r="K19" s="11">
        <f t="shared" si="18"/>
        <v>-25000</v>
      </c>
      <c r="L19" s="11">
        <f t="shared" si="18"/>
        <v>-25000</v>
      </c>
      <c r="M19" s="11">
        <f t="shared" si="18"/>
        <v>-25000</v>
      </c>
      <c r="N19" s="11">
        <f t="shared" si="18"/>
        <v>-25000</v>
      </c>
      <c r="O19" s="11">
        <f t="shared" si="18"/>
        <v>-25000</v>
      </c>
      <c r="P19" s="11">
        <f t="shared" si="18"/>
        <v>-25000</v>
      </c>
      <c r="Q19" s="11">
        <f t="shared" si="18"/>
        <v>-25000</v>
      </c>
      <c r="R19" s="11">
        <f t="shared" si="18"/>
        <v>-25000</v>
      </c>
      <c r="S19" s="11">
        <f t="shared" si="18"/>
        <v>-25000</v>
      </c>
    </row>
    <row r="20" spans="1:19" x14ac:dyDescent="0.25">
      <c r="C20" t="s">
        <v>113</v>
      </c>
      <c r="D20" t="s">
        <v>111</v>
      </c>
      <c r="F20" s="8"/>
      <c r="G20" s="13">
        <f t="shared" si="1"/>
        <v>-30000</v>
      </c>
      <c r="H20" s="8">
        <v>-2500</v>
      </c>
      <c r="I20" s="11">
        <f t="shared" ref="I20:S20" si="19">H20</f>
        <v>-2500</v>
      </c>
      <c r="J20" s="11">
        <f t="shared" si="19"/>
        <v>-2500</v>
      </c>
      <c r="K20" s="11">
        <f t="shared" si="19"/>
        <v>-2500</v>
      </c>
      <c r="L20" s="11">
        <f t="shared" si="19"/>
        <v>-2500</v>
      </c>
      <c r="M20" s="11">
        <f t="shared" si="19"/>
        <v>-2500</v>
      </c>
      <c r="N20" s="11">
        <f t="shared" si="19"/>
        <v>-2500</v>
      </c>
      <c r="O20" s="11">
        <f t="shared" si="19"/>
        <v>-2500</v>
      </c>
      <c r="P20" s="11">
        <f t="shared" si="19"/>
        <v>-2500</v>
      </c>
      <c r="Q20" s="11">
        <f t="shared" si="19"/>
        <v>-2500</v>
      </c>
      <c r="R20" s="11">
        <f t="shared" si="19"/>
        <v>-2500</v>
      </c>
      <c r="S20" s="11">
        <f t="shared" si="19"/>
        <v>-2500</v>
      </c>
    </row>
    <row r="21" spans="1:19" x14ac:dyDescent="0.25">
      <c r="B21" t="s">
        <v>97</v>
      </c>
      <c r="C21" t="s">
        <v>98</v>
      </c>
      <c r="D21" t="s">
        <v>99</v>
      </c>
      <c r="G21" s="13">
        <f t="shared" si="1"/>
        <v>-6000</v>
      </c>
      <c r="H21" s="8">
        <v>-500</v>
      </c>
      <c r="I21" s="11">
        <f t="shared" ref="I21:S21" si="20">H21</f>
        <v>-500</v>
      </c>
      <c r="J21" s="11">
        <f t="shared" si="20"/>
        <v>-500</v>
      </c>
      <c r="K21" s="11">
        <f t="shared" si="20"/>
        <v>-500</v>
      </c>
      <c r="L21" s="11">
        <f t="shared" si="20"/>
        <v>-500</v>
      </c>
      <c r="M21" s="11">
        <f t="shared" si="20"/>
        <v>-500</v>
      </c>
      <c r="N21" s="11">
        <f t="shared" si="20"/>
        <v>-500</v>
      </c>
      <c r="O21" s="11">
        <f t="shared" si="20"/>
        <v>-500</v>
      </c>
      <c r="P21" s="11">
        <f t="shared" si="20"/>
        <v>-500</v>
      </c>
      <c r="Q21" s="11">
        <f t="shared" si="20"/>
        <v>-500</v>
      </c>
      <c r="R21" s="11">
        <f t="shared" si="20"/>
        <v>-500</v>
      </c>
      <c r="S21" s="11">
        <f t="shared" si="20"/>
        <v>-500</v>
      </c>
    </row>
    <row r="22" spans="1:19" x14ac:dyDescent="0.25">
      <c r="B22" t="s">
        <v>121</v>
      </c>
      <c r="C22" t="s">
        <v>167</v>
      </c>
      <c r="G22" s="13">
        <f t="shared" si="1"/>
        <v>-1554756.05</v>
      </c>
      <c r="H22" s="8">
        <f>-'Resource Plan'!G15</f>
        <v>-129563.00416666667</v>
      </c>
      <c r="I22" s="11">
        <f t="shared" ref="I22:S22" si="21">H22</f>
        <v>-129563.00416666667</v>
      </c>
      <c r="J22" s="11">
        <f t="shared" si="21"/>
        <v>-129563.00416666667</v>
      </c>
      <c r="K22" s="11">
        <f t="shared" si="21"/>
        <v>-129563.00416666667</v>
      </c>
      <c r="L22" s="11">
        <f t="shared" si="21"/>
        <v>-129563.00416666667</v>
      </c>
      <c r="M22" s="11">
        <f t="shared" si="21"/>
        <v>-129563.00416666667</v>
      </c>
      <c r="N22" s="11">
        <f t="shared" si="21"/>
        <v>-129563.00416666667</v>
      </c>
      <c r="O22" s="11">
        <f t="shared" si="21"/>
        <v>-129563.00416666667</v>
      </c>
      <c r="P22" s="11">
        <f t="shared" si="21"/>
        <v>-129563.00416666667</v>
      </c>
      <c r="Q22" s="11">
        <f t="shared" si="21"/>
        <v>-129563.00416666667</v>
      </c>
      <c r="R22" s="11">
        <f t="shared" si="21"/>
        <v>-129563.00416666667</v>
      </c>
      <c r="S22" s="11">
        <f t="shared" si="21"/>
        <v>-129563.00416666667</v>
      </c>
    </row>
    <row r="23" spans="1:19" x14ac:dyDescent="0.25">
      <c r="C23" t="s">
        <v>168</v>
      </c>
      <c r="D23" t="s">
        <v>169</v>
      </c>
      <c r="G23" s="13">
        <f t="shared" si="1"/>
        <v>-100800</v>
      </c>
      <c r="H23" s="8">
        <f>-40*21*10</f>
        <v>-8400</v>
      </c>
      <c r="I23" s="11">
        <f t="shared" ref="I23:S23" si="22">H23</f>
        <v>-8400</v>
      </c>
      <c r="J23" s="11">
        <f t="shared" si="22"/>
        <v>-8400</v>
      </c>
      <c r="K23" s="11">
        <f t="shared" si="22"/>
        <v>-8400</v>
      </c>
      <c r="L23" s="11">
        <f t="shared" si="22"/>
        <v>-8400</v>
      </c>
      <c r="M23" s="11">
        <f t="shared" si="22"/>
        <v>-8400</v>
      </c>
      <c r="N23" s="11">
        <f t="shared" si="22"/>
        <v>-8400</v>
      </c>
      <c r="O23" s="11">
        <f t="shared" si="22"/>
        <v>-8400</v>
      </c>
      <c r="P23" s="11">
        <f t="shared" si="22"/>
        <v>-8400</v>
      </c>
      <c r="Q23" s="11">
        <f t="shared" si="22"/>
        <v>-8400</v>
      </c>
      <c r="R23" s="11">
        <f t="shared" si="22"/>
        <v>-8400</v>
      </c>
      <c r="S23" s="11">
        <f t="shared" si="22"/>
        <v>-8400</v>
      </c>
    </row>
    <row r="24" spans="1:19" x14ac:dyDescent="0.25">
      <c r="C24" t="s">
        <v>171</v>
      </c>
      <c r="D24" t="s">
        <v>172</v>
      </c>
      <c r="G24" s="13">
        <f t="shared" si="1"/>
        <v>-30000</v>
      </c>
      <c r="H24" s="8">
        <f>-250*10</f>
        <v>-2500</v>
      </c>
      <c r="I24" s="11">
        <f t="shared" ref="I24:S25" si="23">H24</f>
        <v>-2500</v>
      </c>
      <c r="J24" s="11">
        <f t="shared" si="23"/>
        <v>-2500</v>
      </c>
      <c r="K24" s="11">
        <f t="shared" si="23"/>
        <v>-2500</v>
      </c>
      <c r="L24" s="11">
        <f t="shared" si="23"/>
        <v>-2500</v>
      </c>
      <c r="M24" s="11">
        <f t="shared" si="23"/>
        <v>-2500</v>
      </c>
      <c r="N24" s="11">
        <f t="shared" si="23"/>
        <v>-2500</v>
      </c>
      <c r="O24" s="11">
        <f t="shared" si="23"/>
        <v>-2500</v>
      </c>
      <c r="P24" s="11">
        <f t="shared" si="23"/>
        <v>-2500</v>
      </c>
      <c r="Q24" s="11">
        <f t="shared" si="23"/>
        <v>-2500</v>
      </c>
      <c r="R24" s="11">
        <f t="shared" si="23"/>
        <v>-2500</v>
      </c>
      <c r="S24" s="11">
        <f t="shared" si="23"/>
        <v>-2500</v>
      </c>
    </row>
    <row r="25" spans="1:19" x14ac:dyDescent="0.25">
      <c r="C25" t="s">
        <v>173</v>
      </c>
      <c r="D25" t="s">
        <v>174</v>
      </c>
      <c r="G25" s="13">
        <f t="shared" si="1"/>
        <v>-51600</v>
      </c>
      <c r="H25" s="8">
        <f>-430*10</f>
        <v>-4300</v>
      </c>
      <c r="I25" s="11">
        <f t="shared" si="23"/>
        <v>-4300</v>
      </c>
      <c r="J25" s="11">
        <f t="shared" si="23"/>
        <v>-4300</v>
      </c>
      <c r="K25" s="11">
        <f t="shared" si="23"/>
        <v>-4300</v>
      </c>
      <c r="L25" s="11">
        <f t="shared" si="23"/>
        <v>-4300</v>
      </c>
      <c r="M25" s="11">
        <f t="shared" si="23"/>
        <v>-4300</v>
      </c>
      <c r="N25" s="11">
        <f t="shared" si="23"/>
        <v>-4300</v>
      </c>
      <c r="O25" s="11">
        <f t="shared" si="23"/>
        <v>-4300</v>
      </c>
      <c r="P25" s="11">
        <f t="shared" si="23"/>
        <v>-4300</v>
      </c>
      <c r="Q25" s="11">
        <f t="shared" si="23"/>
        <v>-4300</v>
      </c>
      <c r="R25" s="11">
        <f t="shared" si="23"/>
        <v>-4300</v>
      </c>
      <c r="S25" s="11">
        <f t="shared" si="23"/>
        <v>-4300</v>
      </c>
    </row>
    <row r="26" spans="1:19" x14ac:dyDescent="0.25">
      <c r="B26" t="s">
        <v>114</v>
      </c>
      <c r="C26" t="s">
        <v>115</v>
      </c>
      <c r="D26" t="s">
        <v>170</v>
      </c>
      <c r="G26" s="13">
        <f>SUM(H26:S26)</f>
        <v>-1044</v>
      </c>
      <c r="H26" s="8">
        <v>-87</v>
      </c>
      <c r="I26" s="11">
        <f>H26</f>
        <v>-87</v>
      </c>
      <c r="J26" s="11">
        <f t="shared" ref="I26:S26" si="24">I26</f>
        <v>-87</v>
      </c>
      <c r="K26" s="11">
        <f t="shared" si="24"/>
        <v>-87</v>
      </c>
      <c r="L26" s="11">
        <f t="shared" si="24"/>
        <v>-87</v>
      </c>
      <c r="M26" s="11">
        <f t="shared" si="24"/>
        <v>-87</v>
      </c>
      <c r="N26" s="11">
        <f t="shared" si="24"/>
        <v>-87</v>
      </c>
      <c r="O26" s="11">
        <f t="shared" si="24"/>
        <v>-87</v>
      </c>
      <c r="P26" s="11">
        <f t="shared" si="24"/>
        <v>-87</v>
      </c>
      <c r="Q26" s="11">
        <f t="shared" si="24"/>
        <v>-87</v>
      </c>
      <c r="R26" s="11">
        <f t="shared" si="24"/>
        <v>-87</v>
      </c>
      <c r="S26" s="11">
        <f t="shared" si="24"/>
        <v>-87</v>
      </c>
    </row>
    <row r="27" spans="1:19" x14ac:dyDescent="0.25">
      <c r="C27" t="s">
        <v>114</v>
      </c>
      <c r="D27" t="s">
        <v>116</v>
      </c>
      <c r="G27" s="13">
        <f>SUM(H27:S27)</f>
        <v>-1632</v>
      </c>
      <c r="H27" s="8">
        <v>-136</v>
      </c>
      <c r="I27" s="11">
        <f>H27</f>
        <v>-136</v>
      </c>
      <c r="J27" s="11">
        <f t="shared" ref="I27:S27" si="25">I27</f>
        <v>-136</v>
      </c>
      <c r="K27" s="11">
        <f t="shared" si="25"/>
        <v>-136</v>
      </c>
      <c r="L27" s="11">
        <f t="shared" si="25"/>
        <v>-136</v>
      </c>
      <c r="M27" s="11">
        <f t="shared" si="25"/>
        <v>-136</v>
      </c>
      <c r="N27" s="11">
        <f t="shared" si="25"/>
        <v>-136</v>
      </c>
      <c r="O27" s="11">
        <f t="shared" si="25"/>
        <v>-136</v>
      </c>
      <c r="P27" s="11">
        <f t="shared" si="25"/>
        <v>-136</v>
      </c>
      <c r="Q27" s="11">
        <f t="shared" si="25"/>
        <v>-136</v>
      </c>
      <c r="R27" s="11">
        <f t="shared" si="25"/>
        <v>-136</v>
      </c>
      <c r="S27" s="11">
        <f t="shared" si="25"/>
        <v>-136</v>
      </c>
    </row>
    <row r="28" spans="1:19" x14ac:dyDescent="0.25">
      <c r="D28" t="s">
        <v>117</v>
      </c>
      <c r="G28" s="13">
        <f>SUM(H28:S28)</f>
        <v>-411.99999999999994</v>
      </c>
      <c r="H28" s="8">
        <f>-103/3</f>
        <v>-34.333333333333336</v>
      </c>
      <c r="I28" s="11">
        <f>H28</f>
        <v>-34.333333333333336</v>
      </c>
      <c r="J28" s="11">
        <f t="shared" ref="I28:S28" si="26">I28</f>
        <v>-34.333333333333336</v>
      </c>
      <c r="K28" s="11">
        <f t="shared" si="26"/>
        <v>-34.333333333333336</v>
      </c>
      <c r="L28" s="11">
        <f t="shared" si="26"/>
        <v>-34.333333333333336</v>
      </c>
      <c r="M28" s="11">
        <f t="shared" si="26"/>
        <v>-34.333333333333336</v>
      </c>
      <c r="N28" s="11">
        <f t="shared" si="26"/>
        <v>-34.333333333333336</v>
      </c>
      <c r="O28" s="11">
        <f t="shared" si="26"/>
        <v>-34.333333333333336</v>
      </c>
      <c r="P28" s="11">
        <f t="shared" si="26"/>
        <v>-34.333333333333336</v>
      </c>
      <c r="Q28" s="11">
        <f t="shared" si="26"/>
        <v>-34.333333333333336</v>
      </c>
      <c r="R28" s="11">
        <f t="shared" si="26"/>
        <v>-34.333333333333336</v>
      </c>
      <c r="S28" s="11">
        <f t="shared" si="26"/>
        <v>-34.333333333333336</v>
      </c>
    </row>
    <row r="29" spans="1:19" x14ac:dyDescent="0.25">
      <c r="D29" t="s">
        <v>118</v>
      </c>
      <c r="G29" s="13">
        <f>SUM(H29:S29)</f>
        <v>-132</v>
      </c>
      <c r="H29" s="8">
        <f>-132/12</f>
        <v>-11</v>
      </c>
      <c r="I29" s="11">
        <f>H29</f>
        <v>-11</v>
      </c>
      <c r="J29" s="11">
        <f t="shared" ref="I29:S29" si="27">I29</f>
        <v>-11</v>
      </c>
      <c r="K29" s="11">
        <f t="shared" si="27"/>
        <v>-11</v>
      </c>
      <c r="L29" s="11">
        <f t="shared" si="27"/>
        <v>-11</v>
      </c>
      <c r="M29" s="11">
        <f t="shared" si="27"/>
        <v>-11</v>
      </c>
      <c r="N29" s="11">
        <f t="shared" si="27"/>
        <v>-11</v>
      </c>
      <c r="O29" s="11">
        <f t="shared" si="27"/>
        <v>-11</v>
      </c>
      <c r="P29" s="11">
        <f t="shared" si="27"/>
        <v>-11</v>
      </c>
      <c r="Q29" s="11">
        <f t="shared" si="27"/>
        <v>-11</v>
      </c>
      <c r="R29" s="11">
        <f t="shared" si="27"/>
        <v>-11</v>
      </c>
      <c r="S29" s="11">
        <f t="shared" si="27"/>
        <v>-11</v>
      </c>
    </row>
    <row r="30" spans="1:19" x14ac:dyDescent="0.25">
      <c r="D30" s="9"/>
      <c r="G30" s="13">
        <f t="shared" si="1"/>
        <v>0</v>
      </c>
      <c r="I30" s="11">
        <f t="shared" ref="I30:S30" si="28">H30</f>
        <v>0</v>
      </c>
      <c r="J30" s="11">
        <f t="shared" si="28"/>
        <v>0</v>
      </c>
      <c r="K30" s="11">
        <f t="shared" si="28"/>
        <v>0</v>
      </c>
      <c r="L30" s="11">
        <f t="shared" si="28"/>
        <v>0</v>
      </c>
      <c r="M30" s="11">
        <f t="shared" si="28"/>
        <v>0</v>
      </c>
      <c r="N30" s="11">
        <f t="shared" si="28"/>
        <v>0</v>
      </c>
      <c r="O30" s="11">
        <f t="shared" si="28"/>
        <v>0</v>
      </c>
      <c r="P30" s="11">
        <f t="shared" si="28"/>
        <v>0</v>
      </c>
      <c r="Q30" s="11">
        <f t="shared" si="28"/>
        <v>0</v>
      </c>
      <c r="R30" s="11">
        <f t="shared" si="28"/>
        <v>0</v>
      </c>
      <c r="S30" s="11">
        <f t="shared" si="28"/>
        <v>0</v>
      </c>
    </row>
    <row r="35" spans="2:7" x14ac:dyDescent="0.25">
      <c r="F35" s="11">
        <f>SUM(F2:F33)</f>
        <v>-637500</v>
      </c>
      <c r="G35" s="11">
        <f>SUM(G2:G33)</f>
        <v>-2658586.0499999998</v>
      </c>
    </row>
    <row r="36" spans="2:7" x14ac:dyDescent="0.25">
      <c r="B36" t="s">
        <v>175</v>
      </c>
      <c r="C36" t="s">
        <v>176</v>
      </c>
      <c r="D36" t="s">
        <v>177</v>
      </c>
      <c r="F36" s="11">
        <f>F35*0.2</f>
        <v>-127500</v>
      </c>
      <c r="G36" s="11">
        <f>G35*0.2</f>
        <v>-531717.21</v>
      </c>
    </row>
    <row r="38" spans="2:7" x14ac:dyDescent="0.25">
      <c r="F38" s="11">
        <f>SUM(F35:F36)</f>
        <v>-765000</v>
      </c>
      <c r="G38" s="11">
        <f>SUM(G35:G36)</f>
        <v>-3190303.26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5"/>
  <sheetViews>
    <sheetView workbookViewId="0">
      <selection activeCell="C15" sqref="C15"/>
    </sheetView>
  </sheetViews>
  <sheetFormatPr defaultRowHeight="15" x14ac:dyDescent="0.25"/>
  <cols>
    <col min="1" max="1" width="29.140625" customWidth="1"/>
    <col min="2" max="2" width="45" bestFit="1" customWidth="1"/>
    <col min="4" max="4" width="13.7109375" customWidth="1"/>
    <col min="5" max="5" width="14.42578125" bestFit="1" customWidth="1"/>
    <col min="6" max="6" width="19.7109375" bestFit="1" customWidth="1"/>
    <col min="7" max="7" width="19.7109375" customWidth="1"/>
    <col min="8" max="8" width="12.85546875" customWidth="1"/>
  </cols>
  <sheetData>
    <row r="2" spans="1:8" x14ac:dyDescent="0.25">
      <c r="A2" s="1" t="s">
        <v>121</v>
      </c>
    </row>
    <row r="3" spans="1:8" x14ac:dyDescent="0.25">
      <c r="A3" s="10" t="s">
        <v>139</v>
      </c>
      <c r="B3" s="10"/>
    </row>
    <row r="4" spans="1:8" x14ac:dyDescent="0.25">
      <c r="A4" t="s">
        <v>138</v>
      </c>
    </row>
    <row r="5" spans="1:8" x14ac:dyDescent="0.25">
      <c r="A5" t="s">
        <v>124</v>
      </c>
    </row>
    <row r="7" spans="1:8" x14ac:dyDescent="0.25">
      <c r="A7" s="10" t="s">
        <v>123</v>
      </c>
      <c r="B7" s="10"/>
      <c r="E7" t="s">
        <v>160</v>
      </c>
      <c r="F7" t="s">
        <v>163</v>
      </c>
    </row>
    <row r="8" spans="1:8" x14ac:dyDescent="0.25">
      <c r="A8" t="s">
        <v>122</v>
      </c>
      <c r="B8" t="s">
        <v>125</v>
      </c>
      <c r="C8">
        <v>1</v>
      </c>
      <c r="E8" s="8">
        <v>10000</v>
      </c>
      <c r="F8" s="8">
        <f>200212.73/12</f>
        <v>16684.394166666669</v>
      </c>
      <c r="G8" s="8">
        <f>F8*C8</f>
        <v>16684.394166666669</v>
      </c>
      <c r="H8" t="s">
        <v>161</v>
      </c>
    </row>
    <row r="9" spans="1:8" x14ac:dyDescent="0.25">
      <c r="A9" t="s">
        <v>126</v>
      </c>
      <c r="B9" t="s">
        <v>127</v>
      </c>
      <c r="C9">
        <v>1</v>
      </c>
      <c r="E9" s="8">
        <v>10000</v>
      </c>
      <c r="F9" s="8">
        <f>200212.73/12</f>
        <v>16684.394166666669</v>
      </c>
      <c r="G9" s="8">
        <f t="shared" ref="G9:G13" si="0">F9*C9</f>
        <v>16684.394166666669</v>
      </c>
      <c r="H9" t="s">
        <v>162</v>
      </c>
    </row>
    <row r="10" spans="1:8" x14ac:dyDescent="0.25">
      <c r="A10" t="s">
        <v>128</v>
      </c>
      <c r="B10" t="s">
        <v>129</v>
      </c>
      <c r="C10">
        <v>3</v>
      </c>
      <c r="E10" s="8">
        <v>7500</v>
      </c>
      <c r="F10" s="8">
        <f>142700.22
/12</f>
        <v>11891.684999999999</v>
      </c>
      <c r="G10" s="8">
        <f t="shared" si="0"/>
        <v>35675.055</v>
      </c>
      <c r="H10" t="s">
        <v>164</v>
      </c>
    </row>
    <row r="11" spans="1:8" x14ac:dyDescent="0.25">
      <c r="A11" t="s">
        <v>130</v>
      </c>
      <c r="B11" t="s">
        <v>131</v>
      </c>
      <c r="C11">
        <v>1</v>
      </c>
      <c r="E11" s="8">
        <v>7500</v>
      </c>
      <c r="F11" s="8">
        <f>142700.22
/12</f>
        <v>11891.684999999999</v>
      </c>
      <c r="G11" s="8">
        <f t="shared" si="0"/>
        <v>11891.684999999999</v>
      </c>
      <c r="H11" t="s">
        <v>165</v>
      </c>
    </row>
    <row r="12" spans="1:8" x14ac:dyDescent="0.25">
      <c r="A12" t="s">
        <v>132</v>
      </c>
      <c r="B12" t="s">
        <v>133</v>
      </c>
      <c r="C12">
        <v>1</v>
      </c>
      <c r="E12" s="8">
        <v>7500</v>
      </c>
      <c r="F12" s="8">
        <f>142700.22
/12</f>
        <v>11891.684999999999</v>
      </c>
      <c r="G12" s="8">
        <f t="shared" si="0"/>
        <v>11891.684999999999</v>
      </c>
    </row>
    <row r="13" spans="1:8" x14ac:dyDescent="0.25">
      <c r="A13" t="s">
        <v>201</v>
      </c>
      <c r="B13" t="s">
        <v>202</v>
      </c>
      <c r="C13">
        <v>1</v>
      </c>
      <c r="E13" s="8">
        <v>20000</v>
      </c>
      <c r="F13" s="8">
        <f>440829.49/12</f>
        <v>36735.790833333333</v>
      </c>
      <c r="G13" s="8">
        <f t="shared" si="0"/>
        <v>36735.790833333333</v>
      </c>
    </row>
    <row r="14" spans="1:8" x14ac:dyDescent="0.25">
      <c r="E14" s="8"/>
      <c r="F14" s="8"/>
      <c r="G14" s="8"/>
    </row>
    <row r="15" spans="1:8" x14ac:dyDescent="0.25">
      <c r="G15" s="11">
        <f>SUM(G8:G13)</f>
        <v>129563.00416666667</v>
      </c>
    </row>
  </sheetData>
  <mergeCells count="2">
    <mergeCell ref="A7:B7"/>
    <mergeCell ref="A3:B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D10" sqref="D10"/>
    </sheetView>
  </sheetViews>
  <sheetFormatPr defaultRowHeight="15" x14ac:dyDescent="0.25"/>
  <cols>
    <col min="1" max="1" width="12.42578125" customWidth="1"/>
    <col min="2" max="2" width="14" customWidth="1"/>
    <col min="3" max="3" width="18.140625" customWidth="1"/>
    <col min="4" max="4" width="30.28515625" bestFit="1" customWidth="1"/>
    <col min="5" max="5" width="13.28515625" bestFit="1" customWidth="1"/>
    <col min="6" max="6" width="18.42578125" customWidth="1"/>
    <col min="7" max="7" width="17.28515625" customWidth="1"/>
    <col min="8" max="8" width="15.85546875" customWidth="1"/>
    <col min="9" max="9" width="19.42578125" customWidth="1"/>
    <col min="10" max="10" width="17.5703125" customWidth="1"/>
  </cols>
  <sheetData>
    <row r="1" spans="1:11" x14ac:dyDescent="0.25">
      <c r="E1" s="1" t="s">
        <v>199</v>
      </c>
      <c r="F1" s="1" t="s">
        <v>184</v>
      </c>
      <c r="G1" s="1" t="s">
        <v>185</v>
      </c>
      <c r="H1" s="1" t="s">
        <v>186</v>
      </c>
      <c r="I1" s="1" t="s">
        <v>187</v>
      </c>
      <c r="J1" s="1" t="s">
        <v>188</v>
      </c>
    </row>
    <row r="2" spans="1:11" x14ac:dyDescent="0.25">
      <c r="A2" t="s">
        <v>190</v>
      </c>
      <c r="B2" t="s">
        <v>194</v>
      </c>
      <c r="C2" t="s">
        <v>195</v>
      </c>
      <c r="D2" t="s">
        <v>192</v>
      </c>
      <c r="F2">
        <v>5</v>
      </c>
      <c r="G2">
        <v>10</v>
      </c>
      <c r="H2">
        <v>15</v>
      </c>
      <c r="I2">
        <v>20</v>
      </c>
      <c r="J2">
        <v>25</v>
      </c>
    </row>
    <row r="3" spans="1:11" x14ac:dyDescent="0.25">
      <c r="D3" t="s">
        <v>193</v>
      </c>
      <c r="E3" s="8">
        <v>100000</v>
      </c>
      <c r="F3" s="14">
        <f>F2*$E$3</f>
        <v>500000</v>
      </c>
      <c r="G3" s="14">
        <f>G2*$E$3</f>
        <v>1000000</v>
      </c>
      <c r="H3" s="14">
        <f>H2*$E$3</f>
        <v>1500000</v>
      </c>
      <c r="I3" s="14">
        <f>I2*$E$3</f>
        <v>2000000</v>
      </c>
      <c r="J3" s="14">
        <f>J2*$E$3</f>
        <v>2500000</v>
      </c>
    </row>
    <row r="4" spans="1:11" x14ac:dyDescent="0.25">
      <c r="B4" t="s">
        <v>204</v>
      </c>
      <c r="C4" t="s">
        <v>205</v>
      </c>
      <c r="D4" t="s">
        <v>192</v>
      </c>
      <c r="F4" s="3">
        <v>100</v>
      </c>
      <c r="G4" s="3">
        <v>200</v>
      </c>
      <c r="H4" s="3">
        <v>300</v>
      </c>
      <c r="I4" s="3">
        <v>400</v>
      </c>
      <c r="J4" s="3">
        <v>500</v>
      </c>
      <c r="K4" t="s">
        <v>203</v>
      </c>
    </row>
    <row r="5" spans="1:11" x14ac:dyDescent="0.25">
      <c r="D5" t="s">
        <v>206</v>
      </c>
      <c r="E5">
        <v>1000</v>
      </c>
      <c r="F5" s="14">
        <f>F4*$E$5</f>
        <v>100000</v>
      </c>
      <c r="G5" s="14">
        <f>G4*$E$5</f>
        <v>200000</v>
      </c>
      <c r="H5" s="14">
        <f>H4*$E$5</f>
        <v>300000</v>
      </c>
      <c r="I5" s="14">
        <f>I4*$E$5</f>
        <v>400000</v>
      </c>
      <c r="J5" s="14">
        <f>J4*$E$5</f>
        <v>500000</v>
      </c>
    </row>
    <row r="6" spans="1:11" x14ac:dyDescent="0.25">
      <c r="B6" t="s">
        <v>191</v>
      </c>
      <c r="C6" t="s">
        <v>196</v>
      </c>
      <c r="D6" t="s">
        <v>192</v>
      </c>
      <c r="F6" s="3">
        <v>1000</v>
      </c>
      <c r="G6" s="3">
        <v>5000</v>
      </c>
      <c r="H6" s="3">
        <v>10000</v>
      </c>
      <c r="I6" s="3">
        <v>25000</v>
      </c>
      <c r="J6" s="3">
        <v>50000</v>
      </c>
      <c r="K6" t="s">
        <v>203</v>
      </c>
    </row>
    <row r="7" spans="1:11" x14ac:dyDescent="0.25">
      <c r="D7" t="s">
        <v>197</v>
      </c>
      <c r="E7">
        <v>1000</v>
      </c>
      <c r="F7" s="14">
        <f>F6*$E$7</f>
        <v>1000000</v>
      </c>
      <c r="G7" s="14">
        <f t="shared" ref="G7:J7" si="0">G6*$E$7</f>
        <v>5000000</v>
      </c>
      <c r="H7" s="14">
        <f t="shared" si="0"/>
        <v>10000000</v>
      </c>
      <c r="I7" s="14">
        <f t="shared" si="0"/>
        <v>25000000</v>
      </c>
      <c r="J7" s="14">
        <f t="shared" si="0"/>
        <v>50000000</v>
      </c>
    </row>
    <row r="8" spans="1:11" x14ac:dyDescent="0.25">
      <c r="D8" t="s">
        <v>198</v>
      </c>
      <c r="E8" s="15">
        <v>0.1</v>
      </c>
      <c r="F8" s="16">
        <f>F7*$E$8</f>
        <v>100000</v>
      </c>
      <c r="G8" s="16">
        <f t="shared" ref="G8:J8" si="1">G7*$E$8</f>
        <v>500000</v>
      </c>
      <c r="H8" s="16">
        <f t="shared" si="1"/>
        <v>1000000</v>
      </c>
      <c r="I8" s="16">
        <f t="shared" si="1"/>
        <v>2500000</v>
      </c>
      <c r="J8" s="16">
        <f t="shared" si="1"/>
        <v>5000000</v>
      </c>
    </row>
    <row r="9" spans="1:11" x14ac:dyDescent="0.25">
      <c r="F9" s="1"/>
      <c r="G9" s="1"/>
      <c r="H9" s="1"/>
      <c r="I9" s="1"/>
      <c r="J9" s="1"/>
    </row>
    <row r="10" spans="1:11" x14ac:dyDescent="0.25">
      <c r="F10" s="1"/>
      <c r="G10" s="1"/>
      <c r="H10" s="1"/>
      <c r="I10" s="1"/>
      <c r="J10" s="1"/>
    </row>
    <row r="11" spans="1:11" x14ac:dyDescent="0.25">
      <c r="F11" s="1"/>
      <c r="G11" s="1"/>
      <c r="H11" s="1"/>
      <c r="I11" s="1"/>
      <c r="J11" s="1"/>
    </row>
    <row r="12" spans="1:11" x14ac:dyDescent="0.25">
      <c r="F12" s="1"/>
      <c r="G12" s="1"/>
      <c r="H12" s="1"/>
      <c r="I12" s="1"/>
      <c r="J12" s="1"/>
    </row>
    <row r="13" spans="1:11" x14ac:dyDescent="0.25">
      <c r="A13" t="s">
        <v>189</v>
      </c>
      <c r="B13" t="s">
        <v>178</v>
      </c>
      <c r="C13" t="s">
        <v>181</v>
      </c>
      <c r="F13" s="11">
        <f>F3</f>
        <v>500000</v>
      </c>
      <c r="G13" s="11">
        <f>G3</f>
        <v>1000000</v>
      </c>
      <c r="H13" s="11">
        <f>H3</f>
        <v>1500000</v>
      </c>
      <c r="I13" s="11">
        <f>I3</f>
        <v>2000000</v>
      </c>
      <c r="J13" s="11">
        <f>J3</f>
        <v>2500000</v>
      </c>
    </row>
    <row r="14" spans="1:11" x14ac:dyDescent="0.25">
      <c r="C14" t="s">
        <v>182</v>
      </c>
      <c r="F14" s="11">
        <f>F8</f>
        <v>100000</v>
      </c>
      <c r="G14" s="11">
        <f>G8</f>
        <v>500000</v>
      </c>
      <c r="H14" s="11">
        <f>H8</f>
        <v>1000000</v>
      </c>
      <c r="I14" s="11">
        <f>I8</f>
        <v>2500000</v>
      </c>
      <c r="J14" s="11">
        <f>J8</f>
        <v>5000000</v>
      </c>
    </row>
    <row r="16" spans="1:11" x14ac:dyDescent="0.25">
      <c r="B16" t="s">
        <v>179</v>
      </c>
      <c r="C16" t="s">
        <v>180</v>
      </c>
      <c r="F16" s="11">
        <f>'Busines Plan'!G38</f>
        <v>-3190303.26</v>
      </c>
      <c r="G16" s="11">
        <f>F16*1.25</f>
        <v>-3987879.0749999997</v>
      </c>
      <c r="H16" s="11">
        <f>G16*1.25</f>
        <v>-4984848.84375</v>
      </c>
      <c r="I16" s="11">
        <f>H16*1.25</f>
        <v>-6231061.0546875</v>
      </c>
      <c r="J16" s="11">
        <f>I16*1.25</f>
        <v>-7788826.318359375</v>
      </c>
    </row>
    <row r="19" spans="2:10" x14ac:dyDescent="0.25">
      <c r="B19" t="s">
        <v>200</v>
      </c>
      <c r="C19" s="9" t="s">
        <v>120</v>
      </c>
      <c r="F19" s="8">
        <v>0</v>
      </c>
      <c r="G19" s="8">
        <v>0</v>
      </c>
      <c r="H19" s="8">
        <v>0</v>
      </c>
      <c r="I19" s="8">
        <v>0</v>
      </c>
      <c r="J19" s="8">
        <v>0</v>
      </c>
    </row>
    <row r="21" spans="2:10" x14ac:dyDescent="0.25">
      <c r="B21" t="s">
        <v>183</v>
      </c>
      <c r="F21" s="11">
        <f>SUM(F13:F19)</f>
        <v>-2590303.2599999998</v>
      </c>
      <c r="G21" s="11">
        <f>SUM(G13:G19)</f>
        <v>-2487879.0749999997</v>
      </c>
      <c r="H21" s="11">
        <f>SUM(H13:H19)</f>
        <v>-2484848.84375</v>
      </c>
      <c r="I21" s="11">
        <f>SUM(I13:I19)</f>
        <v>-1731061.0546875</v>
      </c>
      <c r="J21" s="11">
        <f>SUM(J13:J19)</f>
        <v>-288826.318359375</v>
      </c>
    </row>
  </sheetData>
  <hyperlinks>
    <hyperlink ref="C19"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UseCase</vt:lpstr>
      <vt:lpstr>Business Case</vt:lpstr>
      <vt:lpstr>Busines Plan</vt:lpstr>
      <vt:lpstr>Resource Plan</vt:lpstr>
      <vt:lpstr>Income &amp; Outcome Projection</vt:lpstr>
    </vt:vector>
  </TitlesOfParts>
  <Company>DIGITURK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ERHAN AYYILDIZ (TECHNOLOGY)</dc:creator>
  <cp:lastModifiedBy>ERHAN AYYILDIZ (TECHNOLOGY)</cp:lastModifiedBy>
  <dcterms:created xsi:type="dcterms:W3CDTF">2022-05-05T14:11:46Z</dcterms:created>
  <dcterms:modified xsi:type="dcterms:W3CDTF">2022-05-06T09:09:01Z</dcterms:modified>
</cp:coreProperties>
</file>